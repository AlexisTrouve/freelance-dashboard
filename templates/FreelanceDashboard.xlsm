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mc:AlternateContent xmlns:mc="http://schemas.openxmlformats.org/markup-compatibility/2006">
    <mc:Choice Requires="x15">
      <x15ac:absPath xmlns:x15ac="http://schemas.microsoft.com/office/spreadsheetml/2010/11/ac" url="C:\Users\alexi\Documents\projects\freelance-dashboard\templates\"/>
    </mc:Choice>
  </mc:AlternateContent>
  <xr:revisionPtr revIDLastSave="0" documentId="13_ncr:1_{B13DFA65-0043-4A89-A00F-58F3E1B0B2F9}" xr6:coauthVersionLast="47" xr6:coauthVersionMax="47" xr10:uidLastSave="{00000000-0000-0000-0000-000000000000}"/>
  <bookViews>
    <workbookView minimized="1" xWindow="6855" yWindow="2715" windowWidth="21600" windowHeight="11295" firstSheet="1" activeTab="5" xr2:uid="{00000000-000D-0000-FFFF-FFFF00000000}"/>
  </bookViews>
  <sheets>
    <sheet name="Dashboard" sheetId="1" r:id="rId1"/>
    <sheet name="Data_Clients" sheetId="2" r:id="rId2"/>
    <sheet name="Data_Temps" sheetId="3" r:id="rId3"/>
    <sheet name="Data_Revenus" sheetId="4" r:id="rId4"/>
    <sheet name="Config" sheetId="5" r:id="rId5"/>
    <sheet name="TCD_Data" sheetId="6" r:id="rId6"/>
  </sheets>
  <definedNames>
    <definedName name="_xlpm.ca" hidden="1" xlm="1">#NAME?</definedName>
    <definedName name="_xlpm.clients" hidden="1" xlm="1">#NAME?</definedName>
    <definedName name="_xlpm.maxCA" hidden="1" xlm="1">#NAME?</definedName>
    <definedName name="_xlpm.noms" hidden="1" xlm="1">#NAME?</definedName>
    <definedName name="Slicer_ClientID">#N/A</definedName>
    <definedName name="Slicer_Date">#N/A</definedName>
  </definedNames>
  <calcPr calcId="191029"/>
  <extLst>
    <ext xmlns:x14="http://schemas.microsoft.com/office/spreadsheetml/2009/9/main" uri="{876F7934-8845-4945-9796-88D515C7AA90}">
      <x14:pivotCaches>
        <pivotCache cacheId="209" r:id="rId7"/>
      </x14:pivotCaches>
    </ex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11" i="1" l="1"/>
  <c r="B4" i="1"/>
  <c r="B5" i="1"/>
  <c r="B6" i="1"/>
  <c r="B8" i="1"/>
  <c r="B9" i="1"/>
  <c r="B14" i="1"/>
  <c r="B15" i="1"/>
  <c r="B16" i="1"/>
  <c r="B7" i="1" l="1"/>
</calcChain>
</file>

<file path=xl/sharedStrings.xml><?xml version="1.0" encoding="utf-8"?>
<sst xmlns="http://schemas.openxmlformats.org/spreadsheetml/2006/main" count="114" uniqueCount="78">
  <si>
    <t>FREELANCE DASHBOARD</t>
  </si>
  <si>
    <t>ClientID</t>
  </si>
  <si>
    <t>Date</t>
  </si>
  <si>
    <t>Parametre</t>
  </si>
  <si>
    <t>Nom</t>
  </si>
  <si>
    <t>Secteur</t>
  </si>
  <si>
    <t>DateDebut</t>
  </si>
  <si>
    <t>CLI001</t>
  </si>
  <si>
    <t>Acme Corporation</t>
  </si>
  <si>
    <t>Tech</t>
  </si>
  <si>
    <t>15/01/2024</t>
  </si>
  <si>
    <t>CLI002</t>
  </si>
  <si>
    <t>Tech Solutions</t>
  </si>
  <si>
    <t>CLI003</t>
  </si>
  <si>
    <t>Marketing Pro</t>
  </si>
  <si>
    <t>Marketing</t>
  </si>
  <si>
    <t>CLI004</t>
  </si>
  <si>
    <t>E-Shop Plus</t>
  </si>
  <si>
    <t>E-commerce</t>
  </si>
  <si>
    <t>22/09/2024</t>
  </si>
  <si>
    <t>CLI005</t>
  </si>
  <si>
    <t>Finance Group</t>
  </si>
  <si>
    <t>Finance</t>
  </si>
  <si>
    <t>Projet</t>
  </si>
  <si>
    <t>Heures</t>
  </si>
  <si>
    <t>Description</t>
  </si>
  <si>
    <t>Site Web</t>
  </si>
  <si>
    <t>Maquettes</t>
  </si>
  <si>
    <t>API Backend</t>
  </si>
  <si>
    <t>Endpoints</t>
  </si>
  <si>
    <t>Integration</t>
  </si>
  <si>
    <t>Campagne SEO</t>
  </si>
  <si>
    <t>Audit</t>
  </si>
  <si>
    <t>Tests</t>
  </si>
  <si>
    <t>Boutique</t>
  </si>
  <si>
    <t>Setup</t>
  </si>
  <si>
    <t>Maintenance</t>
  </si>
  <si>
    <t>Updates</t>
  </si>
  <si>
    <t>Keywords</t>
  </si>
  <si>
    <t>Dashboard</t>
  </si>
  <si>
    <t>Design</t>
  </si>
  <si>
    <t>App Mobile</t>
  </si>
  <si>
    <t>Screens</t>
  </si>
  <si>
    <t>Montant</t>
  </si>
  <si>
    <t>Type</t>
  </si>
  <si>
    <t>15/01/2025</t>
  </si>
  <si>
    <t>Facture</t>
  </si>
  <si>
    <t>20/01/2025</t>
  </si>
  <si>
    <t>25/01/2025</t>
  </si>
  <si>
    <t>28/01/2025</t>
  </si>
  <si>
    <t>Acompte</t>
  </si>
  <si>
    <t>31/01/2025</t>
  </si>
  <si>
    <t>Valeur</t>
  </si>
  <si>
    <t>Secteurs</t>
  </si>
  <si>
    <t>Types</t>
  </si>
  <si>
    <t>AnneeCourante</t>
  </si>
  <si>
    <t>TauxHoraireDefaut</t>
  </si>
  <si>
    <t>DevisePrincipale</t>
  </si>
  <si>
    <t>EUR</t>
  </si>
  <si>
    <t>Avoir</t>
  </si>
  <si>
    <t>ObjectifMensuel</t>
  </si>
  <si>
    <t>Autre</t>
  </si>
  <si>
    <t>ObjectifHeures</t>
  </si>
  <si>
    <t>Industrie</t>
  </si>
  <si>
    <t>JourDebutSemaine</t>
  </si>
  <si>
    <t>Services</t>
  </si>
  <si>
    <t>KPIs Principaux</t>
  </si>
  <si>
    <t>CA Total</t>
  </si>
  <si>
    <t>CA Mois en cours</t>
  </si>
  <si>
    <t>Heures Totales</t>
  </si>
  <si>
    <t>Taux Horaire Moyen</t>
  </si>
  <si>
    <t>Nb Clients</t>
  </si>
  <si>
    <t>Heures Cette Semaine</t>
  </si>
  <si>
    <t>Top Client</t>
  </si>
  <si>
    <t>Statistiques</t>
  </si>
  <si>
    <t>Date Debut Donnees</t>
  </si>
  <si>
    <t>Date Fin Donnees</t>
  </si>
  <si>
    <t>Nb Projets Uniques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</si>
</sst>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6" formatCode="#\ ##0\ [$€-40C]"/>
    <numFmt numFmtId="167" formatCode="0.0\ &quot;h&quot;"/>
    <numFmt numFmtId="168" formatCode="0.00\ [$€-40C]&quot;/h&quot;"/>
  </numFmts>
  <fonts count="7" x14ac:knownFonts="1">
    <font>
      <sz val="11"/>
      <color theme="1"/>
      <name val="Calibri"/>
      <family val="2"/>
      <scheme val="minor"/>
    </font>
    <font>
      <b/>
      <sz val="11"/>
      <color theme="1"/>
      <name val="Calibri"/>
      <family val="2"/>
      <scheme val="minor"/>
    </font>
    <font>
      <b/>
      <sz val="24"/>
      <color rgb="FF2C3E50"/>
      <name val="Calibri"/>
      <family val="2"/>
      <scheme val="minor"/>
    </font>
    <font>
      <b/>
      <sz val="14"/>
      <color rgb="FF2C3E50"/>
      <name val="Calibri"/>
      <family val="2"/>
      <scheme val="minor"/>
    </font>
    <font>
      <sz val="11"/>
      <color rgb="FF2C3E50"/>
      <name val="Calibri"/>
      <family val="2"/>
      <scheme val="minor"/>
    </font>
    <font>
      <b/>
      <sz val="16"/>
      <color rgb="FF2C3E50"/>
      <name val="Calibri"/>
      <family val="2"/>
      <scheme val="minor"/>
    </font>
    <font>
      <b/>
      <sz val="14"/>
      <color rgb="FF27AE60"/>
      <name val="Calibri"/>
      <family val="2"/>
      <scheme val="minor"/>
    </font>
  </fonts>
  <fills count="3">
    <fill>
      <patternFill patternType="none"/>
    </fill>
    <fill>
      <patternFill patternType="gray125"/>
    </fill>
    <fill>
      <patternFill patternType="solid">
        <fgColor rgb="FFECF0F1"/>
        <bgColor indexed="64"/>
      </patternFill>
    </fill>
  </fills>
  <borders count="2">
    <border>
      <left/>
      <right/>
      <top/>
      <bottom/>
      <diagonal/>
    </border>
    <border>
      <left style="thin">
        <color rgb="FFBDC3C7"/>
      </left>
      <right style="thin">
        <color rgb="FFBDC3C7"/>
      </right>
      <top style="thin">
        <color rgb="FFBDC3C7"/>
      </top>
      <bottom style="thin">
        <color rgb="FFBDC3C7"/>
      </bottom>
      <diagonal/>
    </border>
  </borders>
  <cellStyleXfs count="1">
    <xf numFmtId="0" fontId="0" fillId="0" borderId="0"/>
  </cellStyleXfs>
  <cellXfs count="13">
    <xf numFmtId="0" fontId="0" fillId="0" borderId="0" xfId="0"/>
    <xf numFmtId="14" fontId="0" fillId="0" borderId="0" xfId="0" applyNumberFormat="1"/>
    <xf numFmtId="0" fontId="0" fillId="2" borderId="0" xfId="0" applyFill="1"/>
    <xf numFmtId="0" fontId="3" fillId="2" borderId="0" xfId="0" applyFont="1" applyFill="1"/>
    <xf numFmtId="0" fontId="4" fillId="2" borderId="1" xfId="0" applyFont="1" applyFill="1" applyBorder="1"/>
    <xf numFmtId="166" fontId="5" fillId="2" borderId="1" xfId="0" applyNumberFormat="1" applyFont="1" applyFill="1" applyBorder="1" applyAlignment="1">
      <alignment horizontal="right"/>
    </xf>
    <xf numFmtId="167" fontId="5" fillId="2" borderId="1" xfId="0" applyNumberFormat="1" applyFont="1" applyFill="1" applyBorder="1" applyAlignment="1">
      <alignment horizontal="right"/>
    </xf>
    <xf numFmtId="168" fontId="5" fillId="2" borderId="1" xfId="0" applyNumberFormat="1" applyFont="1" applyFill="1" applyBorder="1" applyAlignment="1">
      <alignment horizontal="right"/>
    </xf>
    <xf numFmtId="1" fontId="5" fillId="2" borderId="1" xfId="0" applyNumberFormat="1" applyFont="1" applyFill="1" applyBorder="1" applyAlignment="1">
      <alignment horizontal="right"/>
    </xf>
    <xf numFmtId="0" fontId="6" fillId="2" borderId="1" xfId="0" applyFont="1" applyFill="1" applyBorder="1"/>
    <xf numFmtId="0" fontId="1" fillId="2" borderId="1" xfId="0" applyFont="1" applyFill="1" applyBorder="1"/>
    <xf numFmtId="14" fontId="1" fillId="2" borderId="1" xfId="0" applyNumberFormat="1" applyFont="1" applyFill="1" applyBorder="1"/>
    <xf numFmtId="0" fontId="2" fillId="2" borderId="0" xfId="0" applyFont="1" applyFill="1" applyAlignment="1">
      <alignment horizontal="left" vertical="center"/>
    </xf>
  </cellXfs>
  <cellStyles count="1">
    <cellStyle name="Normal" xfId="0" builtinId="0"/>
  </cellStyles>
  <dxfs count="1">
    <dxf>
      <numFmt numFmtId="169" formatCode="m/d/yyyy"/>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CA par Client</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pieChart>
        <c:varyColors val="1"/>
        <c:ser>
          <c:idx val="0"/>
          <c:order val="0"/>
          <c:tx>
            <c:v>Series1</c:v>
          </c:tx>
          <c:cat>
            <c:numLit>
              <c:formatCode>General</c:formatCode>
              <c:ptCount val="5"/>
              <c:pt idx="0">
                <c:v>0</c:v>
              </c:pt>
              <c:pt idx="1">
                <c:v>0</c:v>
              </c:pt>
              <c:pt idx="2">
                <c:v>0</c:v>
              </c:pt>
              <c:pt idx="3">
                <c:v>0</c:v>
              </c:pt>
              <c:pt idx="4">
                <c:v>0</c:v>
              </c:pt>
            </c:numLit>
          </c:cat>
          <c:val>
            <c:numLit>
              <c:formatCode>General</c:formatCode>
              <c:ptCount val="5"/>
              <c:pt idx="0">
                <c:v>3500</c:v>
              </c:pt>
              <c:pt idx="1">
                <c:v>7000</c:v>
              </c:pt>
              <c:pt idx="2">
                <c:v>1800</c:v>
              </c:pt>
              <c:pt idx="3">
                <c:v>3500</c:v>
              </c:pt>
              <c:pt idx="4">
                <c:v>1500</c:v>
              </c:pt>
            </c:numLit>
          </c:val>
          <c:extLst>
            <c:ext xmlns:c16="http://schemas.microsoft.com/office/drawing/2014/chart" uri="{C3380CC4-5D6E-409C-BE32-E72D297353CC}">
              <c16:uniqueId val="{00000001-AED0-43D0-9B47-8BA39523FCF0}"/>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CA par Mois</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v>Series1</c:v>
          </c:tx>
          <c:invertIfNegative val="0"/>
          <c:cat>
            <c:numLit>
              <c:formatCode>General</c:formatCode>
              <c:ptCount val="7"/>
              <c:pt idx="0">
                <c:v>1</c:v>
              </c:pt>
              <c:pt idx="1">
                <c:v>2</c:v>
              </c:pt>
              <c:pt idx="2">
                <c:v>3</c:v>
              </c:pt>
              <c:pt idx="3">
                <c:v>4</c:v>
              </c:pt>
              <c:pt idx="4">
                <c:v>5</c:v>
              </c:pt>
              <c:pt idx="5">
                <c:v>6</c:v>
              </c:pt>
              <c:pt idx="6">
                <c:v>7</c:v>
              </c:pt>
            </c:numLit>
          </c:cat>
          <c:val>
            <c:numLit>
              <c:formatCode>General</c:formatCode>
              <c:ptCount val="7"/>
              <c:pt idx="0">
                <c:v>2500</c:v>
              </c:pt>
              <c:pt idx="1">
                <c:v>4200</c:v>
              </c:pt>
              <c:pt idx="2">
                <c:v>1800</c:v>
              </c:pt>
              <c:pt idx="3">
                <c:v>1000</c:v>
              </c:pt>
              <c:pt idx="4">
                <c:v>3500</c:v>
              </c:pt>
              <c:pt idx="5">
                <c:v>2800</c:v>
              </c:pt>
              <c:pt idx="6">
                <c:v>1500</c:v>
              </c:pt>
            </c:numLit>
          </c:val>
          <c:extLst>
            <c:ext xmlns:c16="http://schemas.microsoft.com/office/drawing/2014/chart" uri="{C3380CC4-5D6E-409C-BE32-E72D297353CC}">
              <c16:uniqueId val="{00000001-2CD7-4A0E-A6F2-273EE7DFF437}"/>
            </c:ext>
          </c:extLst>
        </c:ser>
        <c:dLbls>
          <c:showLegendKey val="0"/>
          <c:showVal val="0"/>
          <c:showCatName val="0"/>
          <c:showSerName val="0"/>
          <c:showPercent val="0"/>
          <c:showBubbleSize val="0"/>
        </c:dLbls>
        <c:gapWidth val="150"/>
        <c:axId val="687885967"/>
        <c:axId val="786184447"/>
      </c:barChart>
      <c:catAx>
        <c:axId val="687885967"/>
        <c:scaling>
          <c:orientation val="minMax"/>
        </c:scaling>
        <c:delete val="0"/>
        <c:axPos val="b"/>
        <c:numFmt formatCode="General" sourceLinked="1"/>
        <c:majorTickMark val="out"/>
        <c:minorTickMark val="none"/>
        <c:tickLblPos val="nextTo"/>
        <c:crossAx val="786184447"/>
        <c:crosses val="autoZero"/>
        <c:auto val="1"/>
        <c:lblAlgn val="ctr"/>
        <c:lblOffset val="100"/>
        <c:noMultiLvlLbl val="0"/>
      </c:catAx>
      <c:valAx>
        <c:axId val="786184447"/>
        <c:scaling>
          <c:orientation val="minMax"/>
        </c:scaling>
        <c:delete val="0"/>
        <c:axPos val="l"/>
        <c:majorGridlines/>
        <c:numFmt formatCode="General" sourceLinked="1"/>
        <c:majorTickMark val="out"/>
        <c:minorTickMark val="none"/>
        <c:tickLblPos val="nextTo"/>
        <c:crossAx val="687885967"/>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Heures par Projet</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v>Series1</c:v>
          </c:tx>
          <c:invertIfNegative val="0"/>
          <c:cat>
            <c:strLit>
              <c:ptCount val="7"/>
              <c:pt idx="0">
                <c:v>1</c:v>
              </c:pt>
              <c:pt idx="1">
                <c:v>2</c:v>
              </c:pt>
              <c:pt idx="2">
                <c:v>3</c:v>
              </c:pt>
              <c:pt idx="3">
                <c:v>4</c:v>
              </c:pt>
              <c:pt idx="4">
                <c:v>5</c:v>
              </c:pt>
              <c:pt idx="5">
                <c:v>6</c:v>
              </c:pt>
              <c:pt idx="6">
                <c:v>7</c:v>
              </c:pt>
            </c:strLit>
          </c:cat>
          <c:val>
            <c:numLit>
              <c:formatCode>General</c:formatCode>
              <c:ptCount val="7"/>
              <c:pt idx="0">
                <c:v>13</c:v>
              </c:pt>
              <c:pt idx="1">
                <c:v>6.5</c:v>
              </c:pt>
              <c:pt idx="2">
                <c:v>5</c:v>
              </c:pt>
              <c:pt idx="3">
                <c:v>5.5</c:v>
              </c:pt>
              <c:pt idx="4">
                <c:v>4.5</c:v>
              </c:pt>
              <c:pt idx="5">
                <c:v>1.5</c:v>
              </c:pt>
              <c:pt idx="6">
                <c:v>7.5</c:v>
              </c:pt>
            </c:numLit>
          </c:val>
          <c:extLst>
            <c:ext xmlns:c16="http://schemas.microsoft.com/office/drawing/2014/chart" uri="{C3380CC4-5D6E-409C-BE32-E72D297353CC}">
              <c16:uniqueId val="{00000001-6CB7-4108-AF8A-C1981B2F5852}"/>
            </c:ext>
          </c:extLst>
        </c:ser>
        <c:dLbls>
          <c:showLegendKey val="0"/>
          <c:showVal val="0"/>
          <c:showCatName val="0"/>
          <c:showSerName val="0"/>
          <c:showPercent val="0"/>
          <c:showBubbleSize val="0"/>
        </c:dLbls>
        <c:gapWidth val="150"/>
        <c:axId val="786181567"/>
        <c:axId val="786179167"/>
      </c:barChart>
      <c:catAx>
        <c:axId val="786181567"/>
        <c:scaling>
          <c:orientation val="minMax"/>
        </c:scaling>
        <c:delete val="0"/>
        <c:axPos val="l"/>
        <c:numFmt formatCode="General" sourceLinked="1"/>
        <c:majorTickMark val="out"/>
        <c:minorTickMark val="none"/>
        <c:tickLblPos val="nextTo"/>
        <c:crossAx val="786179167"/>
        <c:crosses val="autoZero"/>
        <c:auto val="1"/>
        <c:lblAlgn val="ctr"/>
        <c:lblOffset val="100"/>
        <c:noMultiLvlLbl val="0"/>
      </c:catAx>
      <c:valAx>
        <c:axId val="786179167"/>
        <c:scaling>
          <c:orientation val="minMax"/>
        </c:scaling>
        <c:delete val="0"/>
        <c:axPos val="b"/>
        <c:majorGridlines/>
        <c:numFmt formatCode="General" sourceLinked="1"/>
        <c:majorTickMark val="out"/>
        <c:minorTickMark val="none"/>
        <c:tickLblPos val="nextTo"/>
        <c:crossAx val="786181567"/>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extLst/>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0</xdr:colOff>
      <xdr:row>2</xdr:row>
      <xdr:rowOff>0</xdr:rowOff>
    </xdr:from>
    <xdr:to>
      <xdr:col>6</xdr:col>
      <xdr:colOff>631825</xdr:colOff>
      <xdr:row>11</xdr:row>
      <xdr:rowOff>53975</xdr:rowOff>
    </xdr:to>
    <xdr:graphicFrame macro="">
      <xdr:nvGraphicFramePr>
        <xdr:cNvPr id="10" name="Chart 9">
          <a:extLst>
            <a:ext uri="{FF2B5EF4-FFF2-40B4-BE49-F238E27FC236}">
              <a16:creationId xmlns:a16="http://schemas.microsoft.com/office/drawing/2014/main" id="{C6A77232-378B-9169-FDF3-926928E52D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11</xdr:row>
      <xdr:rowOff>0</xdr:rowOff>
    </xdr:from>
    <xdr:to>
      <xdr:col>6</xdr:col>
      <xdr:colOff>631825</xdr:colOff>
      <xdr:row>22</xdr:row>
      <xdr:rowOff>15875</xdr:rowOff>
    </xdr:to>
    <xdr:graphicFrame macro="">
      <xdr:nvGraphicFramePr>
        <xdr:cNvPr id="11" name="Chart 10">
          <a:extLst>
            <a:ext uri="{FF2B5EF4-FFF2-40B4-BE49-F238E27FC236}">
              <a16:creationId xmlns:a16="http://schemas.microsoft.com/office/drawing/2014/main" id="{4773B0F0-1348-06DB-5079-0DCB5956B5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2</xdr:row>
      <xdr:rowOff>0</xdr:rowOff>
    </xdr:from>
    <xdr:to>
      <xdr:col>10</xdr:col>
      <xdr:colOff>631825</xdr:colOff>
      <xdr:row>11</xdr:row>
      <xdr:rowOff>53975</xdr:rowOff>
    </xdr:to>
    <xdr:graphicFrame macro="">
      <xdr:nvGraphicFramePr>
        <xdr:cNvPr id="12" name="Chart 11">
          <a:extLst>
            <a:ext uri="{FF2B5EF4-FFF2-40B4-BE49-F238E27FC236}">
              <a16:creationId xmlns:a16="http://schemas.microsoft.com/office/drawing/2014/main" id="{E9B91D18-C178-589F-5069-9E0B186926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40</xdr:row>
      <xdr:rowOff>76200</xdr:rowOff>
    </xdr:from>
    <xdr:to>
      <xdr:col>1</xdr:col>
      <xdr:colOff>190500</xdr:colOff>
      <xdr:row>52</xdr:row>
      <xdr:rowOff>76200</xdr:rowOff>
    </xdr:to>
    <mc:AlternateContent xmlns:mc="http://schemas.openxmlformats.org/markup-compatibility/2006" xmlns:a14="http://schemas.microsoft.com/office/drawing/2010/main">
      <mc:Choice Requires="a14">
        <xdr:graphicFrame macro="">
          <xdr:nvGraphicFramePr>
            <xdr:cNvPr id="13" name="ClientID">
              <a:extLst>
                <a:ext uri="{FF2B5EF4-FFF2-40B4-BE49-F238E27FC236}">
                  <a16:creationId xmlns:a16="http://schemas.microsoft.com/office/drawing/2014/main" id="{2ECC98E8-44DB-F384-6A18-E626CBA37B41}"/>
                </a:ext>
              </a:extLst>
            </xdr:cNvPr>
            <xdr:cNvGraphicFramePr/>
          </xdr:nvGraphicFramePr>
          <xdr:xfrm>
            <a:off x="0" y="0"/>
            <a:ext cx="0" cy="0"/>
          </xdr:xfrm>
          <a:graphic>
            <a:graphicData uri="http://schemas.microsoft.com/office/drawing/2010/slicer">
              <sle:slicer xmlns:sle="http://schemas.microsoft.com/office/drawing/2010/slicer" name="ClientID"/>
            </a:graphicData>
          </a:graphic>
        </xdr:graphicFrame>
      </mc:Choice>
      <mc:Fallback xmlns="">
        <xdr:sp macro="" textlink="">
          <xdr:nvSpPr>
            <xdr:cNvPr id="0" name=""/>
            <xdr:cNvSpPr>
              <a:spLocks noTextEdit="1"/>
            </xdr:cNvSpPr>
          </xdr:nvSpPr>
          <xdr:spPr>
            <a:xfrm>
              <a:off x="0" y="9144000"/>
              <a:ext cx="1905000" cy="2286000"/>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847725</xdr:colOff>
      <xdr:row>40</xdr:row>
      <xdr:rowOff>76200</xdr:rowOff>
    </xdr:from>
    <xdr:to>
      <xdr:col>4</xdr:col>
      <xdr:colOff>409575</xdr:colOff>
      <xdr:row>50</xdr:row>
      <xdr:rowOff>76200</xdr:rowOff>
    </xdr:to>
    <mc:AlternateContent xmlns:mc="http://schemas.openxmlformats.org/markup-compatibility/2006" xmlns:a14="http://schemas.microsoft.com/office/drawing/2010/main">
      <mc:Choice Requires="a14">
        <xdr:graphicFrame macro="">
          <xdr:nvGraphicFramePr>
            <xdr:cNvPr id="14" name="Date">
              <a:extLst>
                <a:ext uri="{FF2B5EF4-FFF2-40B4-BE49-F238E27FC236}">
                  <a16:creationId xmlns:a16="http://schemas.microsoft.com/office/drawing/2014/main" id="{AC3D171F-AFBB-1724-8082-3F803CF5FA0C}"/>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2562225" y="9144000"/>
              <a:ext cx="1905000" cy="1905000"/>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exis Trouve" refreshedDate="46021.687846643516" createdVersion="3" refreshedVersion="8" minRefreshableVersion="3" recordCount="7" xr:uid="{FDB0F013-9F71-451D-981C-3981EF5AFB29}">
  <cacheSource type="worksheet">
    <worksheetSource name="tbl_Revenus"/>
  </cacheSource>
  <cacheFields count="4">
    <cacheField name="Date" numFmtId="0">
      <sharedItems containsDate="1" containsMixedTypes="1" minDate="2025-05-02T00:00:00" maxDate="2025-10-03T00:00:00" count="7">
        <s v="15/01/2025"/>
        <s v="20/01/2025"/>
        <s v="25/01/2025"/>
        <s v="28/01/2025"/>
        <s v="31/01/2025"/>
        <d v="2025-05-02T00:00:00"/>
        <d v="2025-10-02T00:00:00"/>
      </sharedItems>
    </cacheField>
    <cacheField name="ClientID" numFmtId="0">
      <sharedItems count="5">
        <s v="CLI001"/>
        <s v="CLI002"/>
        <s v="CLI003"/>
        <s v="CLI004"/>
        <s v="CLI005"/>
      </sharedItems>
    </cacheField>
    <cacheField name="Montant" numFmtId="0">
      <sharedItems containsSemiMixedTypes="0" containsString="0" containsNumber="1" containsInteger="1" minValue="1000" maxValue="4200"/>
    </cacheField>
    <cacheField name="Type" numFmtId="0">
      <sharedItems/>
    </cacheField>
  </cacheFields>
  <extLst>
    <ext xmlns:x14="http://schemas.microsoft.com/office/spreadsheetml/2009/9/main" uri="{725AE2AE-9491-48be-B2B4-4EB974FC3084}">
      <x14:pivotCacheDefinition pivotCacheId="621974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x v="0"/>
    <n v="2500"/>
    <s v="Facture"/>
  </r>
  <r>
    <x v="1"/>
    <x v="1"/>
    <n v="4200"/>
    <s v="Facture"/>
  </r>
  <r>
    <x v="2"/>
    <x v="2"/>
    <n v="1800"/>
    <s v="Facture"/>
  </r>
  <r>
    <x v="3"/>
    <x v="0"/>
    <n v="1000"/>
    <s v="Acompte"/>
  </r>
  <r>
    <x v="4"/>
    <x v="3"/>
    <n v="3500"/>
    <s v="Facture"/>
  </r>
  <r>
    <x v="5"/>
    <x v="1"/>
    <n v="2800"/>
    <s v="Facture"/>
  </r>
  <r>
    <x v="6"/>
    <x v="4"/>
    <n v="1500"/>
    <s v="Acompte"/>
  </r>
</pivotCacheRecord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ientID" xr10:uid="{4637FC1F-5D0A-42BF-9272-29A3FDF61223}" sourceName="ClientID">
  <data>
    <tabular pivotCacheId="621974377">
      <items count="5">
        <i x="0" s="1"/>
        <i x="1" s="1"/>
        <i x="2" s="1"/>
        <i x="3"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BFE2D3E0-2574-4D3C-9EAB-84A9BA164E51}" sourceName="Date">
  <data>
    <tabular pivotCacheId="621974377">
      <items count="7">
        <i x="0" s="1"/>
        <i x="1" s="1"/>
        <i x="2" s="1"/>
        <i x="3" s="1"/>
        <i x="4" s="1"/>
        <i x="5" s="1"/>
        <i x="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ientID" xr10:uid="{3C630520-2929-4CCA-BD42-95AAD7B17DFA}" cache="Slicer_ClientID" caption="Client" rowHeight="241300"/>
  <slicer name="Date" xr10:uid="{B23B0097-A6F0-43A2-93E7-FE62232D15B9}" cache="Slicer_Date" caption="Periode" style="SlicerStyleLight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45F8EDA-E27D-41DE-B26C-D81692D03B59}" name="tbl_Clients" displayName="tbl_Clients" ref="A1:D6" totalsRowShown="0">
  <autoFilter ref="A1:D6" xr:uid="{845F8EDA-E27D-41DE-B26C-D81692D03B59}"/>
  <tableColumns count="4">
    <tableColumn id="1" xr3:uid="{EAA50671-8FEB-45F7-A488-FCE9B0A69DD9}" name="ClientID"/>
    <tableColumn id="2" xr3:uid="{16FB947A-D85B-4D7D-9771-BB493A8834E6}" name="Nom"/>
    <tableColumn id="3" xr3:uid="{6C1EEC6F-F351-4EB8-846D-F3548D43E6B7}" name="Secteur"/>
    <tableColumn id="4" xr3:uid="{B390CD3C-28CF-449E-AB9C-B57103E92DA3}" name="DateDebu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6"/>
  <sheetViews>
    <sheetView workbookViewId="0"/>
  </sheetViews>
  <sheetFormatPr defaultRowHeight="15" x14ac:dyDescent="0.25"/>
  <cols>
    <col min="1" max="1" width="25.7109375" style="2" customWidth="1"/>
    <col min="2" max="2" width="18.7109375" style="2" customWidth="1"/>
    <col min="3" max="3" width="3.7109375" style="2" customWidth="1"/>
    <col min="4" max="10" width="12.7109375" style="2" customWidth="1"/>
    <col min="11" max="12" width="15.7109375" style="2" customWidth="1"/>
    <col min="13" max="16384" width="9.140625" style="2"/>
  </cols>
  <sheetData>
    <row r="1" spans="1:3" ht="39.950000000000003" customHeight="1" x14ac:dyDescent="0.25">
      <c r="A1" s="12" t="s">
        <v>0</v>
      </c>
      <c r="B1" s="12"/>
      <c r="C1" s="12"/>
    </row>
    <row r="2" spans="1:3" ht="9.9499999999999993" customHeight="1" x14ac:dyDescent="0.25"/>
    <row r="3" spans="1:3" ht="21.95" customHeight="1" x14ac:dyDescent="0.3">
      <c r="A3" s="3" t="s">
        <v>66</v>
      </c>
    </row>
    <row r="4" spans="1:3" ht="21.95" customHeight="1" x14ac:dyDescent="0.35">
      <c r="A4" s="4" t="s">
        <v>67</v>
      </c>
      <c r="B4" s="5" t="e">
        <f>SUM(#REF!)</f>
        <v>#REF!</v>
      </c>
    </row>
    <row r="5" spans="1:3" ht="21.95" customHeight="1" x14ac:dyDescent="0.35">
      <c r="A5" s="4" t="s">
        <v>68</v>
      </c>
      <c r="B5" s="5" t="e">
        <f ca="1">SUMPRODUCT((MONTH(#REF!)=MONTH(TODAY()))*(YEAR(#REF!)=YEAR(TODAY()))*#REF!)</f>
        <v>#REF!</v>
      </c>
    </row>
    <row r="6" spans="1:3" ht="21.95" customHeight="1" x14ac:dyDescent="0.35">
      <c r="A6" s="4" t="s">
        <v>69</v>
      </c>
      <c r="B6" s="6" t="e">
        <f>SUM(#REF!)</f>
        <v>#REF!</v>
      </c>
    </row>
    <row r="7" spans="1:3" ht="21.95" customHeight="1" x14ac:dyDescent="0.35">
      <c r="A7" s="4" t="s">
        <v>70</v>
      </c>
      <c r="B7" s="7">
        <f>IFERROR(B4/B6,0)</f>
        <v>0</v>
      </c>
    </row>
    <row r="8" spans="1:3" ht="21.95" customHeight="1" x14ac:dyDescent="0.35">
      <c r="A8" s="4" t="s">
        <v>71</v>
      </c>
      <c r="B8" s="8">
        <f>COUNTA(tbl_Clients[ClientID])</f>
        <v>5</v>
      </c>
    </row>
    <row r="9" spans="1:3" ht="21.95" customHeight="1" x14ac:dyDescent="0.35">
      <c r="A9" s="4" t="s">
        <v>72</v>
      </c>
      <c r="B9" s="6" t="e">
        <f ca="1">SUMIFS(#REF!,#REF!,"&gt;="&amp;(TODAY()-WEEKDAY(TODAY(),2)+1),#REF!,"&lt;="&amp;(TODAY()-WEEKDAY(TODAY(),2)+7))</f>
        <v>#REF!</v>
      </c>
    </row>
    <row r="10" spans="1:3" ht="21.95" customHeight="1" x14ac:dyDescent="0.25"/>
    <row r="11" spans="1:3" ht="21.95" customHeight="1" x14ac:dyDescent="0.3">
      <c r="A11" s="4" t="s">
        <v>73</v>
      </c>
      <c r="B11" s="9" t="e">
        <f>_xlfn.XLOOKUP(_xlfn.XLOOKUP(MAX(TCD_Data!B2:B6),TCD_Data!B2:B6,TCD_Data!A2:A6),tbl_Clients[ClientID],tbl_Clients[Nom])</f>
        <v>#N/A</v>
      </c>
    </row>
    <row r="12" spans="1:3" ht="21.95" customHeight="1" x14ac:dyDescent="0.25"/>
    <row r="13" spans="1:3" ht="21.95" customHeight="1" x14ac:dyDescent="0.3">
      <c r="A13" s="3" t="s">
        <v>74</v>
      </c>
    </row>
    <row r="14" spans="1:3" ht="21.95" customHeight="1" x14ac:dyDescent="0.25">
      <c r="A14" s="4" t="s">
        <v>75</v>
      </c>
      <c r="B14" s="11" t="e">
        <f>MIN(#REF!)</f>
        <v>#REF!</v>
      </c>
    </row>
    <row r="15" spans="1:3" ht="21.95" customHeight="1" x14ac:dyDescent="0.25">
      <c r="A15" s="4" t="s">
        <v>76</v>
      </c>
      <c r="B15" s="11" t="e">
        <f>MAX(#REF!)</f>
        <v>#REF!</v>
      </c>
    </row>
    <row r="16" spans="1:3" ht="21.95" customHeight="1" x14ac:dyDescent="0.25">
      <c r="A16" s="4" t="s">
        <v>77</v>
      </c>
      <c r="B16" s="10">
        <f>COUNTA(_xlfn.UNIQUE(#REF!))</f>
        <v>1</v>
      </c>
    </row>
  </sheetData>
  <mergeCells count="1">
    <mergeCell ref="A1:C1"/>
  </mergeCells>
  <pageMargins left="0.75" right="0.75" top="1" bottom="1" header="0.5" footer="0.5"/>
  <pageSetup paperSize="9"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6"/>
  <sheetViews>
    <sheetView workbookViewId="0"/>
  </sheetViews>
  <sheetFormatPr defaultRowHeight="15" x14ac:dyDescent="0.25"/>
  <cols>
    <col min="1" max="1" width="10.28515625" customWidth="1"/>
    <col min="3" max="3" width="9.85546875" customWidth="1"/>
    <col min="4" max="4" width="12.7109375" customWidth="1"/>
  </cols>
  <sheetData>
    <row r="1" spans="1:4" x14ac:dyDescent="0.25">
      <c r="A1" t="s">
        <v>1</v>
      </c>
      <c r="B1" t="s">
        <v>4</v>
      </c>
      <c r="C1" t="s">
        <v>5</v>
      </c>
      <c r="D1" t="s">
        <v>6</v>
      </c>
    </row>
    <row r="2" spans="1:4" x14ac:dyDescent="0.25">
      <c r="A2" t="s">
        <v>7</v>
      </c>
      <c r="B2" t="s">
        <v>8</v>
      </c>
      <c r="C2" t="s">
        <v>9</v>
      </c>
      <c r="D2" t="s">
        <v>10</v>
      </c>
    </row>
    <row r="3" spans="1:4" x14ac:dyDescent="0.25">
      <c r="A3" t="s">
        <v>11</v>
      </c>
      <c r="B3" t="s">
        <v>12</v>
      </c>
      <c r="C3" t="s">
        <v>9</v>
      </c>
      <c r="D3" s="1">
        <v>45294</v>
      </c>
    </row>
    <row r="4" spans="1:4" x14ac:dyDescent="0.25">
      <c r="A4" t="s">
        <v>13</v>
      </c>
      <c r="B4" t="s">
        <v>14</v>
      </c>
      <c r="C4" t="s">
        <v>15</v>
      </c>
      <c r="D4" s="1">
        <v>45571</v>
      </c>
    </row>
    <row r="5" spans="1:4" x14ac:dyDescent="0.25">
      <c r="A5" t="s">
        <v>16</v>
      </c>
      <c r="B5" t="s">
        <v>17</v>
      </c>
      <c r="C5" t="s">
        <v>18</v>
      </c>
      <c r="D5" t="s">
        <v>19</v>
      </c>
    </row>
    <row r="6" spans="1:4" x14ac:dyDescent="0.25">
      <c r="A6" t="s">
        <v>20</v>
      </c>
      <c r="B6" t="s">
        <v>21</v>
      </c>
      <c r="C6" t="s">
        <v>22</v>
      </c>
      <c r="D6" s="1">
        <v>45423</v>
      </c>
    </row>
  </sheetData>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11"/>
  <sheetViews>
    <sheetView workbookViewId="0"/>
  </sheetViews>
  <sheetFormatPr defaultRowHeight="15" x14ac:dyDescent="0.25"/>
  <cols>
    <col min="2" max="2" width="10.28515625" customWidth="1"/>
    <col min="4" max="4" width="9.42578125" customWidth="1"/>
    <col min="5" max="5" width="13.28515625" customWidth="1"/>
  </cols>
  <sheetData>
    <row r="1" spans="1:5" x14ac:dyDescent="0.25">
      <c r="A1" t="s">
        <v>2</v>
      </c>
      <c r="B1" t="s">
        <v>1</v>
      </c>
      <c r="C1" t="s">
        <v>23</v>
      </c>
      <c r="D1" t="s">
        <v>24</v>
      </c>
      <c r="E1" t="s">
        <v>25</v>
      </c>
    </row>
    <row r="2" spans="1:5" x14ac:dyDescent="0.25">
      <c r="A2" s="1">
        <v>45689</v>
      </c>
      <c r="B2" t="s">
        <v>7</v>
      </c>
      <c r="C2" t="s">
        <v>26</v>
      </c>
      <c r="D2">
        <v>3.5</v>
      </c>
      <c r="E2" t="s">
        <v>27</v>
      </c>
    </row>
    <row r="3" spans="1:5" x14ac:dyDescent="0.25">
      <c r="A3" s="1">
        <v>45689</v>
      </c>
      <c r="B3" t="s">
        <v>11</v>
      </c>
      <c r="C3" t="s">
        <v>28</v>
      </c>
      <c r="D3">
        <v>6</v>
      </c>
      <c r="E3" t="s">
        <v>29</v>
      </c>
    </row>
    <row r="4" spans="1:5" x14ac:dyDescent="0.25">
      <c r="A4" s="1">
        <v>45717</v>
      </c>
      <c r="B4" t="s">
        <v>7</v>
      </c>
      <c r="C4" t="s">
        <v>26</v>
      </c>
      <c r="D4">
        <v>4</v>
      </c>
      <c r="E4" t="s">
        <v>30</v>
      </c>
    </row>
    <row r="5" spans="1:5" x14ac:dyDescent="0.25">
      <c r="A5" s="1">
        <v>45717</v>
      </c>
      <c r="B5" t="s">
        <v>13</v>
      </c>
      <c r="C5" t="s">
        <v>31</v>
      </c>
      <c r="D5">
        <v>2.5</v>
      </c>
      <c r="E5" t="s">
        <v>32</v>
      </c>
    </row>
    <row r="6" spans="1:5" x14ac:dyDescent="0.25">
      <c r="A6" s="1">
        <v>45809</v>
      </c>
      <c r="B6" t="s">
        <v>11</v>
      </c>
      <c r="C6" t="s">
        <v>28</v>
      </c>
      <c r="D6">
        <v>7</v>
      </c>
      <c r="E6" t="s">
        <v>33</v>
      </c>
    </row>
    <row r="7" spans="1:5" x14ac:dyDescent="0.25">
      <c r="A7" s="1">
        <v>45809</v>
      </c>
      <c r="B7" t="s">
        <v>16</v>
      </c>
      <c r="C7" t="s">
        <v>34</v>
      </c>
      <c r="D7">
        <v>5</v>
      </c>
      <c r="E7" t="s">
        <v>35</v>
      </c>
    </row>
    <row r="8" spans="1:5" x14ac:dyDescent="0.25">
      <c r="A8" s="1">
        <v>45839</v>
      </c>
      <c r="B8" t="s">
        <v>7</v>
      </c>
      <c r="C8" t="s">
        <v>36</v>
      </c>
      <c r="D8">
        <v>1.5</v>
      </c>
      <c r="E8" t="s">
        <v>37</v>
      </c>
    </row>
    <row r="9" spans="1:5" x14ac:dyDescent="0.25">
      <c r="A9" s="1">
        <v>45870</v>
      </c>
      <c r="B9" t="s">
        <v>13</v>
      </c>
      <c r="C9" t="s">
        <v>31</v>
      </c>
      <c r="D9">
        <v>3</v>
      </c>
      <c r="E9" t="s">
        <v>38</v>
      </c>
    </row>
    <row r="10" spans="1:5" x14ac:dyDescent="0.25">
      <c r="A10" s="1">
        <v>45870</v>
      </c>
      <c r="B10" t="s">
        <v>20</v>
      </c>
      <c r="C10" t="s">
        <v>39</v>
      </c>
      <c r="D10">
        <v>4.5</v>
      </c>
      <c r="E10" t="s">
        <v>40</v>
      </c>
    </row>
    <row r="11" spans="1:5" x14ac:dyDescent="0.25">
      <c r="A11" s="1">
        <v>45901</v>
      </c>
      <c r="B11" t="s">
        <v>11</v>
      </c>
      <c r="C11" t="s">
        <v>41</v>
      </c>
      <c r="D11">
        <v>6.5</v>
      </c>
      <c r="E11" t="s">
        <v>42</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8"/>
  <sheetViews>
    <sheetView workbookViewId="0"/>
  </sheetViews>
  <sheetFormatPr defaultRowHeight="15" x14ac:dyDescent="0.25"/>
  <cols>
    <col min="2" max="2" width="10.28515625" customWidth="1"/>
    <col min="3" max="3" width="10.85546875" customWidth="1"/>
  </cols>
  <sheetData>
    <row r="1" spans="1:4" x14ac:dyDescent="0.25">
      <c r="A1" t="s">
        <v>2</v>
      </c>
      <c r="B1" t="s">
        <v>1</v>
      </c>
      <c r="C1" t="s">
        <v>43</v>
      </c>
      <c r="D1" t="s">
        <v>44</v>
      </c>
    </row>
    <row r="2" spans="1:4" x14ac:dyDescent="0.25">
      <c r="A2" t="s">
        <v>45</v>
      </c>
      <c r="B2" t="s">
        <v>7</v>
      </c>
      <c r="C2">
        <v>2500</v>
      </c>
      <c r="D2" t="s">
        <v>46</v>
      </c>
    </row>
    <row r="3" spans="1:4" x14ac:dyDescent="0.25">
      <c r="A3" t="s">
        <v>47</v>
      </c>
      <c r="B3" t="s">
        <v>11</v>
      </c>
      <c r="C3">
        <v>4200</v>
      </c>
      <c r="D3" t="s">
        <v>46</v>
      </c>
    </row>
    <row r="4" spans="1:4" x14ac:dyDescent="0.25">
      <c r="A4" t="s">
        <v>48</v>
      </c>
      <c r="B4" t="s">
        <v>13</v>
      </c>
      <c r="C4">
        <v>1800</v>
      </c>
      <c r="D4" t="s">
        <v>46</v>
      </c>
    </row>
    <row r="5" spans="1:4" x14ac:dyDescent="0.25">
      <c r="A5" t="s">
        <v>49</v>
      </c>
      <c r="B5" t="s">
        <v>7</v>
      </c>
      <c r="C5">
        <v>1000</v>
      </c>
      <c r="D5" t="s">
        <v>50</v>
      </c>
    </row>
    <row r="6" spans="1:4" x14ac:dyDescent="0.25">
      <c r="A6" t="s">
        <v>51</v>
      </c>
      <c r="B6" t="s">
        <v>16</v>
      </c>
      <c r="C6">
        <v>3500</v>
      </c>
      <c r="D6" t="s">
        <v>46</v>
      </c>
    </row>
    <row r="7" spans="1:4" x14ac:dyDescent="0.25">
      <c r="A7" s="1">
        <v>45779</v>
      </c>
      <c r="B7" t="s">
        <v>11</v>
      </c>
      <c r="C7">
        <v>2800</v>
      </c>
      <c r="D7" t="s">
        <v>46</v>
      </c>
    </row>
    <row r="8" spans="1:4" x14ac:dyDescent="0.25">
      <c r="A8" s="1">
        <v>45932</v>
      </c>
      <c r="B8" t="s">
        <v>20</v>
      </c>
      <c r="C8">
        <v>1500</v>
      </c>
      <c r="D8" t="s">
        <v>50</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8"/>
  <sheetViews>
    <sheetView workbookViewId="0"/>
  </sheetViews>
  <sheetFormatPr defaultRowHeight="15" x14ac:dyDescent="0.25"/>
  <sheetData>
    <row r="1" spans="1:6" x14ac:dyDescent="0.25">
      <c r="A1" t="s">
        <v>3</v>
      </c>
      <c r="B1" t="s">
        <v>52</v>
      </c>
      <c r="D1" t="s">
        <v>53</v>
      </c>
      <c r="F1" t="s">
        <v>54</v>
      </c>
    </row>
    <row r="2" spans="1:6" x14ac:dyDescent="0.25">
      <c r="A2" t="s">
        <v>55</v>
      </c>
      <c r="B2">
        <v>2025</v>
      </c>
      <c r="D2" t="s">
        <v>9</v>
      </c>
      <c r="F2" t="s">
        <v>46</v>
      </c>
    </row>
    <row r="3" spans="1:6" x14ac:dyDescent="0.25">
      <c r="A3" t="s">
        <v>56</v>
      </c>
      <c r="B3">
        <v>75</v>
      </c>
      <c r="D3" t="s">
        <v>15</v>
      </c>
      <c r="F3" t="s">
        <v>50</v>
      </c>
    </row>
    <row r="4" spans="1:6" x14ac:dyDescent="0.25">
      <c r="A4" t="s">
        <v>57</v>
      </c>
      <c r="B4" t="s">
        <v>58</v>
      </c>
      <c r="D4" t="s">
        <v>22</v>
      </c>
      <c r="F4" t="s">
        <v>59</v>
      </c>
    </row>
    <row r="5" spans="1:6" x14ac:dyDescent="0.25">
      <c r="A5" t="s">
        <v>60</v>
      </c>
      <c r="B5">
        <v>10000</v>
      </c>
      <c r="D5" t="s">
        <v>18</v>
      </c>
      <c r="F5" t="s">
        <v>61</v>
      </c>
    </row>
    <row r="6" spans="1:6" x14ac:dyDescent="0.25">
      <c r="A6" t="s">
        <v>62</v>
      </c>
      <c r="B6">
        <v>140</v>
      </c>
      <c r="D6" t="s">
        <v>63</v>
      </c>
    </row>
    <row r="7" spans="1:6" x14ac:dyDescent="0.25">
      <c r="A7" t="s">
        <v>64</v>
      </c>
      <c r="B7">
        <v>2</v>
      </c>
      <c r="D7" t="s">
        <v>65</v>
      </c>
    </row>
    <row r="8" spans="1:6" x14ac:dyDescent="0.25">
      <c r="D8" t="s">
        <v>61</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F33F2E-173D-426E-A4DF-4A83B658AB29}">
  <sheetPr codeName="Sheet6"/>
  <dimension ref="A1"/>
  <sheetViews>
    <sheetView showGridLines="0" tabSelected="1" workbookViewId="0"/>
  </sheetViews>
  <sheetFormatPr defaultRowHeight="15" x14ac:dyDescent="0.25"/>
  <cols>
    <col min="1" max="1" width="13.140625" bestFit="1" customWidth="1"/>
    <col min="2" max="2" width="8.28515625" bestFit="1" customWidth="1"/>
    <col min="5" max="5" width="13.140625" bestFit="1" customWidth="1"/>
    <col min="6" max="6" width="11.7109375" bestFit="1" customWidth="1"/>
    <col min="9" max="9" width="14.28515625" bestFit="1" customWidth="1"/>
    <col min="10" max="10" width="12.140625" bestFit="1"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Data_Clients</vt:lpstr>
      <vt:lpstr>Data_Temps</vt:lpstr>
      <vt:lpstr>Data_Revenus</vt:lpstr>
      <vt:lpstr>Config</vt:lpstr>
      <vt:lpstr>TCD_Data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Alexis Trouve</cp:lastModifiedBy>
  <dcterms:created xsi:type="dcterms:W3CDTF">2025-12-30T03:42:07Z</dcterms:created>
  <dcterms:modified xsi:type="dcterms:W3CDTF">2025-12-30T09:31:39Z</dcterms:modified>
</cp:coreProperties>
</file>