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alexi\Documents\projects\freelance-dashboard\templates\"/>
    </mc:Choice>
  </mc:AlternateContent>
  <xr:revisionPtr revIDLastSave="0" documentId="13_ncr:1_{167CA77B-B31D-4EAF-A9CD-BA01A85EC94A}" xr6:coauthVersionLast="47" xr6:coauthVersionMax="47" xr10:uidLastSave="{00000000-0000-0000-0000-000000000000}"/>
  <bookViews>
    <workbookView minimized="1" xWindow="6675" yWindow="2775" windowWidth="21600" windowHeight="11295" xr2:uid="{00000000-000D-0000-FFFF-FFFF00000000}"/>
  </bookViews>
  <sheets>
    <sheet name="Dashboard" sheetId="1" r:id="rId1"/>
    <sheet name="Data_Clients" sheetId="2" r:id="rId2"/>
    <sheet name="Data_Temps" sheetId="3" r:id="rId3"/>
    <sheet name="Data_Revenus" sheetId="4" r:id="rId4"/>
    <sheet name="Config" sheetId="5" r:id="rId5"/>
    <sheet name="TCD_Data" sheetId="6" r:id="rId6"/>
  </sheets>
  <definedNames>
    <definedName name="_xlpm.ca" hidden="1" xlm="1">#NAME?</definedName>
    <definedName name="_xlpm.clients" hidden="1" xlm="1">#NAME?</definedName>
    <definedName name="_xlpm.maxCA" hidden="1" xlm="1">#NAME?</definedName>
    <definedName name="_xlpm.noms" hidden="1" xlm="1">#NAME?</definedName>
    <definedName name="Slicer_ClientID">#N/A</definedName>
  </definedNames>
  <calcPr calcId="191029"/>
  <pivotCaches>
    <pivotCache cacheId="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1" i="1" l="1"/>
  <c r="H11" i="1"/>
  <c r="G12" i="1"/>
  <c r="H12" i="1"/>
  <c r="G13" i="1"/>
  <c r="H13" i="1"/>
  <c r="G14" i="1"/>
  <c r="H14" i="1"/>
  <c r="G15" i="1"/>
  <c r="H15" i="1"/>
  <c r="G3" i="1"/>
  <c r="H3" i="1"/>
  <c r="B8" i="1" s="1"/>
  <c r="G4" i="1"/>
  <c r="H4" i="1"/>
  <c r="G5" i="1"/>
  <c r="H5" i="1"/>
  <c r="G6" i="1"/>
  <c r="H6" i="1"/>
  <c r="G7" i="1"/>
  <c r="H7" i="1"/>
  <c r="B4" i="1"/>
  <c r="B5" i="1"/>
  <c r="B6" i="1"/>
  <c r="B7" i="1"/>
</calcChain>
</file>

<file path=xl/sharedStrings.xml><?xml version="1.0" encoding="utf-8"?>
<sst xmlns="http://schemas.openxmlformats.org/spreadsheetml/2006/main" count="152" uniqueCount="95">
  <si>
    <t>FREELANCE DASHBOARD</t>
  </si>
  <si>
    <t>ClientID</t>
  </si>
  <si>
    <t>Date</t>
  </si>
  <si>
    <t>Parametre</t>
  </si>
  <si>
    <t>Nom</t>
  </si>
  <si>
    <t>Secteur</t>
  </si>
  <si>
    <t>DateDebut</t>
  </si>
  <si>
    <t>CLI001</t>
  </si>
  <si>
    <t>Acme Corporation</t>
  </si>
  <si>
    <t>Tech</t>
  </si>
  <si>
    <t>15/01/2024</t>
  </si>
  <si>
    <t>CLI002</t>
  </si>
  <si>
    <t>Tech Solutions</t>
  </si>
  <si>
    <t>CLI003</t>
  </si>
  <si>
    <t>Marketing Pro</t>
  </si>
  <si>
    <t>Marketing</t>
  </si>
  <si>
    <t>CLI004</t>
  </si>
  <si>
    <t>E-Shop Plus</t>
  </si>
  <si>
    <t>E-commerce</t>
  </si>
  <si>
    <t>22/09/2024</t>
  </si>
  <si>
    <t>CLI005</t>
  </si>
  <si>
    <t>Finance Group</t>
  </si>
  <si>
    <t>Finance</t>
  </si>
  <si>
    <t>Projet</t>
  </si>
  <si>
    <t>Heures</t>
  </si>
  <si>
    <t>Description</t>
  </si>
  <si>
    <t>Site Web</t>
  </si>
  <si>
    <t>Maquettes</t>
  </si>
  <si>
    <t>API Backend</t>
  </si>
  <si>
    <t>Endpoints</t>
  </si>
  <si>
    <t>Integration</t>
  </si>
  <si>
    <t>Campagne SEO</t>
  </si>
  <si>
    <t>Audit</t>
  </si>
  <si>
    <t>Tests</t>
  </si>
  <si>
    <t>Boutique</t>
  </si>
  <si>
    <t>Setup</t>
  </si>
  <si>
    <t>Maintenance</t>
  </si>
  <si>
    <t>Updates</t>
  </si>
  <si>
    <t>Keywords</t>
  </si>
  <si>
    <t>Dashboard</t>
  </si>
  <si>
    <t>Design</t>
  </si>
  <si>
    <t>App Mobile</t>
  </si>
  <si>
    <t>Screens</t>
  </si>
  <si>
    <t>Montant</t>
  </si>
  <si>
    <t>Type</t>
  </si>
  <si>
    <t>15/01/2025</t>
  </si>
  <si>
    <t>Facture</t>
  </si>
  <si>
    <t>20/01/2025</t>
  </si>
  <si>
    <t>25/01/2025</t>
  </si>
  <si>
    <t>28/01/2025</t>
  </si>
  <si>
    <t>Acompte</t>
  </si>
  <si>
    <t>31/01/2025</t>
  </si>
  <si>
    <t>Valeur</t>
  </si>
  <si>
    <t>Secteurs</t>
  </si>
  <si>
    <t>Types</t>
  </si>
  <si>
    <t>AnneeCourante</t>
  </si>
  <si>
    <t>TauxHoraireDefaut</t>
  </si>
  <si>
    <t>DevisePrincipale</t>
  </si>
  <si>
    <t>EUR</t>
  </si>
  <si>
    <t>Avoir</t>
  </si>
  <si>
    <t>ObjectifMensuel</t>
  </si>
  <si>
    <t>Autre</t>
  </si>
  <si>
    <t>ObjectifHeures</t>
  </si>
  <si>
    <t>Industrie</t>
  </si>
  <si>
    <t>JourDebutSemaine</t>
  </si>
  <si>
    <t>Services</t>
  </si>
  <si>
    <t>CA Total</t>
  </si>
  <si>
    <t>Heures Totales</t>
  </si>
  <si>
    <t>Nb Clients</t>
  </si>
  <si>
    <t>Top Client</t>
  </si>
  <si>
    <t>Tache</t>
  </si>
  <si>
    <t>Fait?</t>
  </si>
  <si>
    <t>Tache 1</t>
  </si>
  <si>
    <t>Tache 2</t>
  </si>
  <si>
    <t>Tache 3</t>
  </si>
  <si>
    <t>Tache 4</t>
  </si>
  <si>
    <t>Tache 5</t>
  </si>
  <si>
    <t>MA LISTE DE TACHES</t>
  </si>
  <si>
    <t>KPIs</t>
  </si>
  <si>
    <t>Taux Horaire</t>
  </si>
  <si>
    <t>Fait</t>
  </si>
  <si>
    <t>Client</t>
  </si>
  <si>
    <t>CA</t>
  </si>
  <si>
    <t>Row Labels</t>
  </si>
  <si>
    <t>Grand Total</t>
  </si>
  <si>
    <t>Sum of Heures</t>
  </si>
  <si>
    <t>Statistiques</t>
  </si>
  <si>
    <t>CA Moyen/Client</t>
  </si>
  <si>
    <t>Heures Moyennes/Client</t>
  </si>
  <si>
    <t>Projet le + rentable</t>
  </si>
  <si>
    <t>Mois le + actif</t>
  </si>
  <si>
    <t>Janvier</t>
  </si>
  <si>
    <t>Objectifs</t>
  </si>
  <si>
    <t>Objectif CA Annuel</t>
  </si>
  <si>
    <t>Progression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</si>
</sst>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quot;h&quot;"/>
    <numFmt numFmtId="165" formatCode="#,##0\ &quot;EUR&quot;"/>
    <numFmt numFmtId="166" formatCode="#,##0.0\ &quot;h&quot;"/>
    <numFmt numFmtId="167" formatCode="#,##0.00\ &quot;EUR/h&quot;"/>
  </numFmts>
  <fonts count="10" x14ac:knownFonts="1">
    <font>
      <sz val="11"/>
      <color theme="1"/>
      <name val="Calibri"/>
      <family val="2"/>
      <scheme val="minor"/>
    </font>
    <font>
      <b/>
      <sz val="11"/>
      <color theme="1"/>
      <name val="Calibri"/>
      <family val="2"/>
      <scheme val="minor"/>
    </font>
    <font>
      <b/>
      <sz val="24"/>
      <color rgb="FF2C3E50"/>
      <name val="Calibri"/>
      <family val="2"/>
      <scheme val="minor"/>
    </font>
    <font>
      <b/>
      <sz val="14"/>
      <color rgb="FF2C3E50"/>
      <name val="Calibri"/>
      <family val="2"/>
      <scheme val="minor"/>
    </font>
    <font>
      <sz val="11"/>
      <color rgb="FF2C3E50"/>
      <name val="Calibri"/>
      <family val="2"/>
      <scheme val="minor"/>
    </font>
    <font>
      <b/>
      <sz val="16"/>
      <color rgb="FF2C3E50"/>
      <name val="Calibri"/>
      <family val="2"/>
      <scheme val="minor"/>
    </font>
    <font>
      <b/>
      <sz val="14"/>
      <color rgb="FF27AE60"/>
      <name val="Calibri"/>
      <family val="2"/>
      <scheme val="minor"/>
    </font>
    <font>
      <sz val="8"/>
      <color rgb="FF000000"/>
      <name val="Segoe UI"/>
      <family val="2"/>
    </font>
    <font>
      <b/>
      <sz val="12"/>
      <color rgb="FFFFFFFF"/>
      <name val="Calibri"/>
      <family val="2"/>
      <scheme val="minor"/>
    </font>
    <font>
      <b/>
      <sz val="12"/>
      <color theme="1"/>
      <name val="Calibri"/>
      <family val="2"/>
      <scheme val="minor"/>
    </font>
  </fonts>
  <fills count="6">
    <fill>
      <patternFill patternType="none"/>
    </fill>
    <fill>
      <patternFill patternType="gray125"/>
    </fill>
    <fill>
      <patternFill patternType="solid">
        <fgColor rgb="FFECF0F1"/>
        <bgColor indexed="64"/>
      </patternFill>
    </fill>
    <fill>
      <patternFill patternType="solid">
        <fgColor rgb="FF2C3E50"/>
        <bgColor indexed="64"/>
      </patternFill>
    </fill>
    <fill>
      <patternFill patternType="solid">
        <fgColor rgb="FFBDC3C7"/>
        <bgColor indexed="64"/>
      </patternFill>
    </fill>
    <fill>
      <patternFill patternType="solid">
        <fgColor rgb="FFFFFFFF"/>
        <bgColor indexed="64"/>
      </patternFill>
    </fill>
  </fills>
  <borders count="10">
    <border>
      <left/>
      <right/>
      <top/>
      <bottom/>
      <diagonal/>
    </border>
    <border>
      <left style="thin">
        <color rgb="FFBDC3C7"/>
      </left>
      <right style="thin">
        <color rgb="FFBDC3C7"/>
      </right>
      <top style="thin">
        <color rgb="FFBDC3C7"/>
      </top>
      <bottom style="thin">
        <color rgb="FFBDC3C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
    <xf numFmtId="0" fontId="0" fillId="0" borderId="0" xfId="0"/>
    <xf numFmtId="14" fontId="0" fillId="0" borderId="0" xfId="0" applyNumberFormat="1"/>
    <xf numFmtId="0" fontId="0" fillId="2" borderId="0" xfId="0" applyFill="1"/>
    <xf numFmtId="0" fontId="3" fillId="2" borderId="0" xfId="0" applyFont="1" applyFill="1"/>
    <xf numFmtId="0" fontId="4" fillId="2" borderId="1" xfId="0" applyFont="1" applyFill="1" applyBorder="1"/>
    <xf numFmtId="164" fontId="5" fillId="2" borderId="1" xfId="0" applyNumberFormat="1" applyFont="1" applyFill="1" applyBorder="1" applyAlignment="1">
      <alignment horizontal="right"/>
    </xf>
    <xf numFmtId="1" fontId="5" fillId="2" borderId="1" xfId="0" applyNumberFormat="1" applyFont="1" applyFill="1" applyBorder="1" applyAlignment="1">
      <alignment horizontal="right"/>
    </xf>
    <xf numFmtId="0" fontId="1" fillId="2" borderId="1" xfId="0" applyFont="1" applyFill="1" applyBorder="1"/>
    <xf numFmtId="14" fontId="1" fillId="2" borderId="1" xfId="0" applyNumberFormat="1" applyFont="1" applyFill="1" applyBorder="1"/>
    <xf numFmtId="14" fontId="0" fillId="2" borderId="0" xfId="0" applyNumberFormat="1" applyFill="1"/>
    <xf numFmtId="0" fontId="0" fillId="2" borderId="3" xfId="0" applyFill="1" applyBorder="1"/>
    <xf numFmtId="0" fontId="0" fillId="2" borderId="4" xfId="0" applyFill="1" applyBorder="1"/>
    <xf numFmtId="0" fontId="0" fillId="2" borderId="5" xfId="0" applyFill="1" applyBorder="1"/>
    <xf numFmtId="0" fontId="0" fillId="2" borderId="0"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1" fillId="4" borderId="2" xfId="0" applyFont="1" applyFill="1" applyBorder="1"/>
    <xf numFmtId="0" fontId="1" fillId="4" borderId="3" xfId="0" applyFont="1" applyFill="1" applyBorder="1"/>
    <xf numFmtId="0" fontId="0" fillId="5" borderId="0" xfId="0" applyFill="1" applyBorder="1"/>
    <xf numFmtId="0" fontId="1" fillId="2" borderId="0" xfId="0" applyFont="1" applyFill="1"/>
    <xf numFmtId="0" fontId="9" fillId="2" borderId="0" xfId="0" applyFont="1"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9" fontId="0" fillId="2" borderId="0" xfId="0" applyNumberFormat="1" applyFill="1"/>
    <xf numFmtId="165" fontId="5" fillId="2" borderId="1" xfId="0" applyNumberFormat="1" applyFont="1" applyFill="1" applyBorder="1" applyAlignment="1">
      <alignment horizontal="right"/>
    </xf>
    <xf numFmtId="166" fontId="5" fillId="2" borderId="1" xfId="0" applyNumberFormat="1" applyFont="1" applyFill="1" applyBorder="1" applyAlignment="1">
      <alignment horizontal="right"/>
    </xf>
    <xf numFmtId="167" fontId="5" fillId="2" borderId="1" xfId="0" applyNumberFormat="1" applyFont="1" applyFill="1" applyBorder="1" applyAlignment="1">
      <alignment horizontal="right"/>
    </xf>
    <xf numFmtId="165" fontId="6" fillId="2" borderId="1" xfId="0" applyNumberFormat="1" applyFont="1" applyFill="1" applyBorder="1"/>
    <xf numFmtId="164" fontId="0" fillId="2" borderId="0" xfId="0" applyNumberFormat="1" applyFill="1"/>
    <xf numFmtId="165" fontId="0" fillId="2" borderId="0" xfId="0" applyNumberFormat="1" applyFill="1"/>
    <xf numFmtId="0" fontId="3" fillId="2" borderId="0" xfId="0" applyFont="1" applyFill="1" applyAlignment="1">
      <alignment horizontal="left" vertical="center"/>
    </xf>
    <xf numFmtId="0" fontId="2" fillId="2" borderId="0" xfId="0" applyFont="1" applyFill="1" applyAlignment="1">
      <alignment horizontal="left" vertical="center"/>
    </xf>
    <xf numFmtId="0" fontId="8" fillId="3" borderId="8" xfId="0" applyFont="1" applyFill="1" applyBorder="1"/>
  </cellXfs>
  <cellStyles count="1">
    <cellStyle name="Normal" xfId="0" builtinId="0"/>
  </cellStyles>
  <dxfs count="2">
    <dxf>
      <numFmt numFmtId="19" formatCode="dd/mm/yyyy"/>
    </dxf>
    <dxf>
      <numFmt numFmtId="168" formatCode="m/d/yyyy"/>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Heures par Client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bar"/>
        <c:grouping val="clustered"/>
        <c:varyColors val="0"/>
        <c:ser>
          <c:idx val="0"/>
          <c:order val="0"/>
          <c:tx>
            <c:strRef>
              <c:f>Dashboard!$G$11</c:f>
              <c:strCache>
                <c:ptCount val="1"/>
                <c:pt idx="0">
                  <c:v>Acme Corporation</c:v>
                </c:pt>
              </c:strCache>
            </c:strRef>
          </c:tx>
          <c:spPr>
            <a:solidFill>
              <a:schemeClr val="accent1"/>
            </a:solidFill>
            <a:ln>
              <a:noFill/>
            </a:ln>
            <a:effectLst/>
          </c:spPr>
          <c:invertIfNegative val="0"/>
          <c:cat>
            <c:strRef>
              <c:f>Dashboard!$H$10</c:f>
              <c:strCache>
                <c:ptCount val="1"/>
                <c:pt idx="0">
                  <c:v>Heures</c:v>
                </c:pt>
              </c:strCache>
            </c:strRef>
          </c:cat>
          <c:val>
            <c:numRef>
              <c:f>Dashboard!$H$11</c:f>
              <c:numCache>
                <c:formatCode>0.0\ "h"</c:formatCode>
                <c:ptCount val="1"/>
                <c:pt idx="0">
                  <c:v>62</c:v>
                </c:pt>
              </c:numCache>
            </c:numRef>
          </c:val>
          <c:extLst>
            <c:ext xmlns:c16="http://schemas.microsoft.com/office/drawing/2014/chart" uri="{C3380CC4-5D6E-409C-BE32-E72D297353CC}">
              <c16:uniqueId val="{00000000-DE60-488F-8BD7-32C6C9E4F46D}"/>
            </c:ext>
          </c:extLst>
        </c:ser>
        <c:ser>
          <c:idx val="1"/>
          <c:order val="1"/>
          <c:tx>
            <c:strRef>
              <c:f>Dashboard!$G$12</c:f>
              <c:strCache>
                <c:ptCount val="1"/>
                <c:pt idx="0">
                  <c:v>Tech Solutions</c:v>
                </c:pt>
              </c:strCache>
            </c:strRef>
          </c:tx>
          <c:spPr>
            <a:solidFill>
              <a:schemeClr val="accent2"/>
            </a:solidFill>
            <a:ln>
              <a:noFill/>
            </a:ln>
            <a:effectLst/>
          </c:spPr>
          <c:invertIfNegative val="0"/>
          <c:cat>
            <c:strRef>
              <c:f>Dashboard!$H$10</c:f>
              <c:strCache>
                <c:ptCount val="1"/>
                <c:pt idx="0">
                  <c:v>Heures</c:v>
                </c:pt>
              </c:strCache>
            </c:strRef>
          </c:cat>
          <c:val>
            <c:numRef>
              <c:f>Dashboard!$H$12</c:f>
              <c:numCache>
                <c:formatCode>0.0\ "h"</c:formatCode>
                <c:ptCount val="1"/>
                <c:pt idx="0">
                  <c:v>95</c:v>
                </c:pt>
              </c:numCache>
            </c:numRef>
          </c:val>
          <c:extLst>
            <c:ext xmlns:c16="http://schemas.microsoft.com/office/drawing/2014/chart" uri="{C3380CC4-5D6E-409C-BE32-E72D297353CC}">
              <c16:uniqueId val="{00000001-DE60-488F-8BD7-32C6C9E4F46D}"/>
            </c:ext>
          </c:extLst>
        </c:ser>
        <c:ser>
          <c:idx val="2"/>
          <c:order val="2"/>
          <c:tx>
            <c:strRef>
              <c:f>Dashboard!$G$13</c:f>
              <c:strCache>
                <c:ptCount val="1"/>
                <c:pt idx="0">
                  <c:v>Marketing Pro</c:v>
                </c:pt>
              </c:strCache>
            </c:strRef>
          </c:tx>
          <c:spPr>
            <a:solidFill>
              <a:schemeClr val="accent3"/>
            </a:solidFill>
            <a:ln>
              <a:noFill/>
            </a:ln>
            <a:effectLst/>
          </c:spPr>
          <c:invertIfNegative val="0"/>
          <c:cat>
            <c:strRef>
              <c:f>Dashboard!$H$10</c:f>
              <c:strCache>
                <c:ptCount val="1"/>
                <c:pt idx="0">
                  <c:v>Heures</c:v>
                </c:pt>
              </c:strCache>
            </c:strRef>
          </c:cat>
          <c:val>
            <c:numRef>
              <c:f>Dashboard!$H$13</c:f>
              <c:numCache>
                <c:formatCode>0.0\ "h"</c:formatCode>
                <c:ptCount val="1"/>
                <c:pt idx="0">
                  <c:v>43</c:v>
                </c:pt>
              </c:numCache>
            </c:numRef>
          </c:val>
          <c:extLst>
            <c:ext xmlns:c16="http://schemas.microsoft.com/office/drawing/2014/chart" uri="{C3380CC4-5D6E-409C-BE32-E72D297353CC}">
              <c16:uniqueId val="{00000002-DE60-488F-8BD7-32C6C9E4F46D}"/>
            </c:ext>
          </c:extLst>
        </c:ser>
        <c:ser>
          <c:idx val="3"/>
          <c:order val="3"/>
          <c:tx>
            <c:strRef>
              <c:f>Dashboard!$G$14</c:f>
              <c:strCache>
                <c:ptCount val="1"/>
                <c:pt idx="0">
                  <c:v>E-Shop Plus</c:v>
                </c:pt>
              </c:strCache>
            </c:strRef>
          </c:tx>
          <c:spPr>
            <a:solidFill>
              <a:schemeClr val="accent4"/>
            </a:solidFill>
            <a:ln>
              <a:noFill/>
            </a:ln>
            <a:effectLst/>
          </c:spPr>
          <c:invertIfNegative val="0"/>
          <c:cat>
            <c:strRef>
              <c:f>Dashboard!$H$10</c:f>
              <c:strCache>
                <c:ptCount val="1"/>
                <c:pt idx="0">
                  <c:v>Heures</c:v>
                </c:pt>
              </c:strCache>
            </c:strRef>
          </c:cat>
          <c:val>
            <c:numRef>
              <c:f>Dashboard!$H$14</c:f>
              <c:numCache>
                <c:formatCode>0.0\ "h"</c:formatCode>
                <c:ptCount val="1"/>
                <c:pt idx="0">
                  <c:v>30</c:v>
                </c:pt>
              </c:numCache>
            </c:numRef>
          </c:val>
          <c:extLst>
            <c:ext xmlns:c16="http://schemas.microsoft.com/office/drawing/2014/chart" uri="{C3380CC4-5D6E-409C-BE32-E72D297353CC}">
              <c16:uniqueId val="{00000003-DE60-488F-8BD7-32C6C9E4F46D}"/>
            </c:ext>
          </c:extLst>
        </c:ser>
        <c:ser>
          <c:idx val="4"/>
          <c:order val="4"/>
          <c:tx>
            <c:strRef>
              <c:f>Dashboard!$G$15</c:f>
              <c:strCache>
                <c:ptCount val="1"/>
                <c:pt idx="0">
                  <c:v>Finance Group</c:v>
                </c:pt>
              </c:strCache>
            </c:strRef>
          </c:tx>
          <c:spPr>
            <a:solidFill>
              <a:schemeClr val="accent5"/>
            </a:solidFill>
            <a:ln>
              <a:noFill/>
            </a:ln>
            <a:effectLst/>
          </c:spPr>
          <c:invertIfNegative val="0"/>
          <c:cat>
            <c:strRef>
              <c:f>Dashboard!$H$10</c:f>
              <c:strCache>
                <c:ptCount val="1"/>
                <c:pt idx="0">
                  <c:v>Heures</c:v>
                </c:pt>
              </c:strCache>
            </c:strRef>
          </c:cat>
          <c:val>
            <c:numRef>
              <c:f>Dashboard!$H$15</c:f>
              <c:numCache>
                <c:formatCode>0.0\ "h"</c:formatCode>
                <c:ptCount val="1"/>
                <c:pt idx="0">
                  <c:v>20</c:v>
                </c:pt>
              </c:numCache>
            </c:numRef>
          </c:val>
          <c:extLst>
            <c:ext xmlns:c16="http://schemas.microsoft.com/office/drawing/2014/chart" uri="{C3380CC4-5D6E-409C-BE32-E72D297353CC}">
              <c16:uniqueId val="{00000004-DE60-488F-8BD7-32C6C9E4F46D}"/>
            </c:ext>
          </c:extLst>
        </c:ser>
        <c:dLbls>
          <c:showLegendKey val="0"/>
          <c:showVal val="0"/>
          <c:showCatName val="0"/>
          <c:showSerName val="0"/>
          <c:showPercent val="0"/>
          <c:showBubbleSize val="0"/>
        </c:dLbls>
        <c:gapWidth val="182"/>
        <c:axId val="2065474559"/>
        <c:axId val="2065461119"/>
      </c:barChart>
      <c:catAx>
        <c:axId val="2065474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5461119"/>
        <c:crosses val="autoZero"/>
        <c:auto val="1"/>
        <c:lblAlgn val="ctr"/>
        <c:lblOffset val="100"/>
        <c:noMultiLvlLbl val="0"/>
      </c:catAx>
      <c:valAx>
        <c:axId val="2065461119"/>
        <c:scaling>
          <c:orientation val="minMax"/>
        </c:scaling>
        <c:delete val="0"/>
        <c:axPos val="b"/>
        <c:majorGridlines>
          <c:spPr>
            <a:ln w="9525" cap="flat" cmpd="sng" algn="ctr">
              <a:solidFill>
                <a:schemeClr val="tx1">
                  <a:lumMod val="15000"/>
                  <a:lumOff val="85000"/>
                </a:schemeClr>
              </a:solidFill>
              <a:round/>
            </a:ln>
            <a:effectLst/>
          </c:spPr>
        </c:majorGridlines>
        <c:numFmt formatCode="0.0\ &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547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 par Client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Dashboard!$H$2</c:f>
              <c:strCache>
                <c:ptCount val="1"/>
                <c:pt idx="0">
                  <c:v>CA</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6A-45A8-9A05-28B3228E17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6A-45A8-9A05-28B3228E17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C6A-45A8-9A05-28B3228E17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C6A-45A8-9A05-28B3228E17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C6A-45A8-9A05-28B3228E1712}"/>
              </c:ext>
            </c:extLst>
          </c:dPt>
          <c:cat>
            <c:strRef>
              <c:f>Dashboard!$G$3:$G$7</c:f>
              <c:strCache>
                <c:ptCount val="5"/>
                <c:pt idx="0">
                  <c:v>Acme Corporation</c:v>
                </c:pt>
                <c:pt idx="1">
                  <c:v>Tech Solutions</c:v>
                </c:pt>
                <c:pt idx="2">
                  <c:v>Marketing Pro</c:v>
                </c:pt>
                <c:pt idx="3">
                  <c:v>E-Shop Plus</c:v>
                </c:pt>
                <c:pt idx="4">
                  <c:v>Finance Group</c:v>
                </c:pt>
              </c:strCache>
            </c:strRef>
          </c:cat>
          <c:val>
            <c:numRef>
              <c:f>Dashboard!$H$3:$H$7</c:f>
              <c:numCache>
                <c:formatCode>#\ ##0\ "EUR"</c:formatCode>
                <c:ptCount val="5"/>
                <c:pt idx="0">
                  <c:v>3500</c:v>
                </c:pt>
                <c:pt idx="1">
                  <c:v>7000</c:v>
                </c:pt>
                <c:pt idx="2">
                  <c:v>1800</c:v>
                </c:pt>
                <c:pt idx="3">
                  <c:v>3500</c:v>
                </c:pt>
                <c:pt idx="4">
                  <c:v>1500</c:v>
                </c:pt>
              </c:numCache>
            </c:numRef>
          </c:val>
          <c:extLst>
            <c:ext xmlns:c16="http://schemas.microsoft.com/office/drawing/2014/chart" uri="{C3380CC4-5D6E-409C-BE32-E72D297353CC}">
              <c16:uniqueId val="{00000000-1FED-482B-AC4A-F87864BB25D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3" lockText="1" noThreeD="1"/>
</file>

<file path=xl/ctrlProps/ctrlProp2.xml><?xml version="1.0" encoding="utf-8"?>
<formControlPr xmlns="http://schemas.microsoft.com/office/spreadsheetml/2009/9/main" objectType="CheckBox" fmlaLink="$E$4" lockText="1" noThreeD="1"/>
</file>

<file path=xl/ctrlProps/ctrlProp3.xml><?xml version="1.0" encoding="utf-8"?>
<formControlPr xmlns="http://schemas.microsoft.com/office/spreadsheetml/2009/9/main" objectType="CheckBox" fmlaLink="$E$5" lockText="1" noThreeD="1"/>
</file>

<file path=xl/ctrlProps/ctrlProp4.xml><?xml version="1.0" encoding="utf-8"?>
<formControlPr xmlns="http://schemas.microsoft.com/office/spreadsheetml/2009/9/main" objectType="CheckBox" fmlaLink="$E$6" lockText="1" noThreeD="1"/>
</file>

<file path=xl/ctrlProps/ctrlProp5.xml><?xml version="1.0" encoding="utf-8"?>
<formControlPr xmlns="http://schemas.microsoft.com/office/spreadsheetml/2009/9/main" objectType="CheckBox" fmlaLink="$E$7"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542925</xdr:colOff>
      <xdr:row>9</xdr:row>
      <xdr:rowOff>152400</xdr:rowOff>
    </xdr:from>
    <xdr:to>
      <xdr:col>12</xdr:col>
      <xdr:colOff>307975</xdr:colOff>
      <xdr:row>18</xdr:row>
      <xdr:rowOff>123825</xdr:rowOff>
    </xdr:to>
    <xdr:graphicFrame macro="">
      <xdr:nvGraphicFramePr>
        <xdr:cNvPr id="3" name="ChartHeures">
          <a:extLst>
            <a:ext uri="{FF2B5EF4-FFF2-40B4-BE49-F238E27FC236}">
              <a16:creationId xmlns:a16="http://schemas.microsoft.com/office/drawing/2014/main" id="{174B047B-9D62-47AB-0014-339A7D366F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295275</xdr:colOff>
      <xdr:row>10</xdr:row>
      <xdr:rowOff>66675</xdr:rowOff>
    </xdr:from>
    <xdr:to>
      <xdr:col>5</xdr:col>
      <xdr:colOff>476250</xdr:colOff>
      <xdr:row>15</xdr:row>
      <xdr:rowOff>209550</xdr:rowOff>
    </xdr:to>
    <mc:AlternateContent xmlns:mc="http://schemas.openxmlformats.org/markup-compatibility/2006" xmlns:a14="http://schemas.microsoft.com/office/drawing/2010/main">
      <mc:Choice Requires="a14">
        <xdr:graphicFrame macro="">
          <xdr:nvGraphicFramePr>
            <xdr:cNvPr id="4" name="SlicerClient">
              <a:extLst>
                <a:ext uri="{FF2B5EF4-FFF2-40B4-BE49-F238E27FC236}">
                  <a16:creationId xmlns:a16="http://schemas.microsoft.com/office/drawing/2014/main" id="{AAF76ED4-2A1D-8EE8-9FAB-7A3FEA73FB31}"/>
                </a:ext>
              </a:extLst>
            </xdr:cNvPr>
            <xdr:cNvGraphicFramePr/>
          </xdr:nvGraphicFramePr>
          <xdr:xfrm>
            <a:off x="0" y="0"/>
            <a:ext cx="0" cy="0"/>
          </xdr:xfrm>
          <a:graphic>
            <a:graphicData uri="http://schemas.microsoft.com/office/drawing/2010/slicer">
              <sle:slicer xmlns:sle="http://schemas.microsoft.com/office/drawing/2010/slicer" name="SlicerClient"/>
            </a:graphicData>
          </a:graphic>
        </xdr:graphicFrame>
      </mc:Choice>
      <mc:Fallback xmlns="">
        <xdr:sp macro="" textlink="">
          <xdr:nvSpPr>
            <xdr:cNvPr id="0" name=""/>
            <xdr:cNvSpPr>
              <a:spLocks noTextEdit="1"/>
            </xdr:cNvSpPr>
          </xdr:nvSpPr>
          <xdr:spPr>
            <a:xfrm>
              <a:off x="2790825" y="2905125"/>
              <a:ext cx="1905000" cy="15240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514350</xdr:colOff>
      <xdr:row>0</xdr:row>
      <xdr:rowOff>66675</xdr:rowOff>
    </xdr:from>
    <xdr:to>
      <xdr:col>12</xdr:col>
      <xdr:colOff>533400</xdr:colOff>
      <xdr:row>9</xdr:row>
      <xdr:rowOff>44450</xdr:rowOff>
    </xdr:to>
    <xdr:graphicFrame macro="">
      <xdr:nvGraphicFramePr>
        <xdr:cNvPr id="2" name="ChartCA">
          <a:extLst>
            <a:ext uri="{FF2B5EF4-FFF2-40B4-BE49-F238E27FC236}">
              <a16:creationId xmlns:a16="http://schemas.microsoft.com/office/drawing/2014/main" id="{F756F17F-0696-E972-92EF-9FF251E32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19050</xdr:colOff>
          <xdr:row>2</xdr:row>
          <xdr:rowOff>19050</xdr:rowOff>
        </xdr:from>
        <xdr:to>
          <xdr:col>5</xdr:col>
          <xdr:colOff>28575</xdr:colOff>
          <xdr:row>2</xdr:row>
          <xdr:rowOff>247650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19050</xdr:rowOff>
        </xdr:from>
        <xdr:to>
          <xdr:col>5</xdr:col>
          <xdr:colOff>28575</xdr:colOff>
          <xdr:row>3</xdr:row>
          <xdr:rowOff>247650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28575</xdr:colOff>
          <xdr:row>4</xdr:row>
          <xdr:rowOff>247650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5</xdr:col>
          <xdr:colOff>28575</xdr:colOff>
          <xdr:row>5</xdr:row>
          <xdr:rowOff>247650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xdr:row>
          <xdr:rowOff>19050</xdr:rowOff>
        </xdr:from>
        <xdr:to>
          <xdr:col>5</xdr:col>
          <xdr:colOff>28575</xdr:colOff>
          <xdr:row>6</xdr:row>
          <xdr:rowOff>247650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4</xdr:row>
          <xdr:rowOff>57150</xdr:rowOff>
        </xdr:from>
        <xdr:to>
          <xdr:col>2</xdr:col>
          <xdr:colOff>323850</xdr:colOff>
          <xdr:row>5</xdr:row>
          <xdr:rowOff>76200</xdr:rowOff>
        </xdr:to>
        <xdr:sp macro="" textlink="">
          <xdr:nvSpPr>
            <xdr:cNvPr id="2049" name="chk_Task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6</xdr:row>
          <xdr:rowOff>0</xdr:rowOff>
        </xdr:from>
        <xdr:to>
          <xdr:col>2</xdr:col>
          <xdr:colOff>323850</xdr:colOff>
          <xdr:row>7</xdr:row>
          <xdr:rowOff>19050</xdr:rowOff>
        </xdr:to>
        <xdr:sp macro="" textlink="">
          <xdr:nvSpPr>
            <xdr:cNvPr id="2050" name="chk_Task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Check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7</xdr:row>
          <xdr:rowOff>123825</xdr:rowOff>
        </xdr:from>
        <xdr:to>
          <xdr:col>2</xdr:col>
          <xdr:colOff>323850</xdr:colOff>
          <xdr:row>8</xdr:row>
          <xdr:rowOff>142875</xdr:rowOff>
        </xdr:to>
        <xdr:sp macro="" textlink="">
          <xdr:nvSpPr>
            <xdr:cNvPr id="2051" name="chk_Task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Check Box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57150</xdr:rowOff>
        </xdr:from>
        <xdr:to>
          <xdr:col>2</xdr:col>
          <xdr:colOff>323850</xdr:colOff>
          <xdr:row>10</xdr:row>
          <xdr:rowOff>76200</xdr:rowOff>
        </xdr:to>
        <xdr:sp macro="" textlink="">
          <xdr:nvSpPr>
            <xdr:cNvPr id="2052" name="chk_Task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Check Box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xdr:row>
          <xdr:rowOff>0</xdr:rowOff>
        </xdr:from>
        <xdr:to>
          <xdr:col>2</xdr:col>
          <xdr:colOff>323850</xdr:colOff>
          <xdr:row>12</xdr:row>
          <xdr:rowOff>19050</xdr:rowOff>
        </xdr:to>
        <xdr:sp macro="" textlink="">
          <xdr:nvSpPr>
            <xdr:cNvPr id="2053" name="chk_Task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Check Box 5</a:t>
              </a:r>
            </a:p>
          </xdr:txBody>
        </xdr:sp>
        <xdr:clientData/>
      </xdr:twoCellAnchor>
    </mc:Choice>
    <mc:Fallback/>
  </mc:AlternateContent>
  <xdr:twoCellAnchor>
    <xdr:from>
      <xdr:col>3</xdr:col>
      <xdr:colOff>247650</xdr:colOff>
      <xdr:row>3</xdr:row>
      <xdr:rowOff>63500</xdr:rowOff>
    </xdr:from>
    <xdr:to>
      <xdr:col>5</xdr:col>
      <xdr:colOff>285750</xdr:colOff>
      <xdr:row>5</xdr:row>
      <xdr:rowOff>127000</xdr:rowOff>
    </xdr:to>
    <xdr:sp macro="ClearAllCheckboxes" textlink="">
      <xdr:nvSpPr>
        <xdr:cNvPr id="2" name="btnClearCheckboxes">
          <a:extLst>
            <a:ext uri="{FF2B5EF4-FFF2-40B4-BE49-F238E27FC236}">
              <a16:creationId xmlns:a16="http://schemas.microsoft.com/office/drawing/2014/main" id="{C9DFFDA6-D803-A865-341D-29957D4540F1}"/>
            </a:ext>
          </a:extLst>
        </xdr:cNvPr>
        <xdr:cNvSpPr/>
      </xdr:nvSpPr>
      <xdr:spPr>
        <a:xfrm>
          <a:off x="2286000" y="635000"/>
          <a:ext cx="1524000" cy="444500"/>
        </a:xfrm>
        <a:prstGeom prst="round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Clear Checkboxes</a:t>
          </a:r>
        </a:p>
      </xdr:txBody>
    </xdr:sp>
    <xdr:clientData/>
  </xdr:twoCellAnchor>
  <xdr:twoCellAnchor>
    <xdr:from>
      <xdr:col>3</xdr:col>
      <xdr:colOff>247650</xdr:colOff>
      <xdr:row>3</xdr:row>
      <xdr:rowOff>63500</xdr:rowOff>
    </xdr:from>
    <xdr:to>
      <xdr:col>5</xdr:col>
      <xdr:colOff>285750</xdr:colOff>
      <xdr:row>5</xdr:row>
      <xdr:rowOff>127000</xdr:rowOff>
    </xdr:to>
    <xdr:sp macro="ClearAllCheckboxes" textlink="">
      <xdr:nvSpPr>
        <xdr:cNvPr id="3" name="btnClearCheckboxes">
          <a:extLst>
            <a:ext uri="{FF2B5EF4-FFF2-40B4-BE49-F238E27FC236}">
              <a16:creationId xmlns:a16="http://schemas.microsoft.com/office/drawing/2014/main" id="{625ADA59-7823-D674-0183-723F50E83171}"/>
            </a:ext>
          </a:extLst>
        </xdr:cNvPr>
        <xdr:cNvSpPr/>
      </xdr:nvSpPr>
      <xdr:spPr>
        <a:xfrm>
          <a:off x="2286000" y="635000"/>
          <a:ext cx="1524000" cy="444500"/>
        </a:xfrm>
        <a:prstGeom prst="round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Clear Checkboxes</a:t>
          </a:r>
        </a:p>
      </xdr:txBody>
    </xdr:sp>
    <xdr:clientData/>
  </xdr:twoCellAnchor>
  <xdr:twoCellAnchor>
    <xdr:from>
      <xdr:col>3</xdr:col>
      <xdr:colOff>247650</xdr:colOff>
      <xdr:row>3</xdr:row>
      <xdr:rowOff>63500</xdr:rowOff>
    </xdr:from>
    <xdr:to>
      <xdr:col>5</xdr:col>
      <xdr:colOff>285750</xdr:colOff>
      <xdr:row>5</xdr:row>
      <xdr:rowOff>127000</xdr:rowOff>
    </xdr:to>
    <xdr:sp macro="ClearAllCheckboxes" textlink="">
      <xdr:nvSpPr>
        <xdr:cNvPr id="4" name="btnClearCheckboxes">
          <a:extLst>
            <a:ext uri="{FF2B5EF4-FFF2-40B4-BE49-F238E27FC236}">
              <a16:creationId xmlns:a16="http://schemas.microsoft.com/office/drawing/2014/main" id="{B8E511BE-81F1-80E7-7B71-DE6E7B245496}"/>
            </a:ext>
          </a:extLst>
        </xdr:cNvPr>
        <xdr:cNvSpPr/>
      </xdr:nvSpPr>
      <xdr:spPr>
        <a:xfrm>
          <a:off x="2286000" y="635000"/>
          <a:ext cx="1524000" cy="444500"/>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Clear Checkboxes</a:t>
          </a:r>
        </a:p>
      </xdr:txBody>
    </xdr:sp>
    <xdr:clientData/>
  </xdr:twoCellAnchor>
  <xdr:twoCellAnchor>
    <xdr:from>
      <xdr:col>3</xdr:col>
      <xdr:colOff>247650</xdr:colOff>
      <xdr:row>3</xdr:row>
      <xdr:rowOff>63500</xdr:rowOff>
    </xdr:from>
    <xdr:to>
      <xdr:col>5</xdr:col>
      <xdr:colOff>285750</xdr:colOff>
      <xdr:row>5</xdr:row>
      <xdr:rowOff>127000</xdr:rowOff>
    </xdr:to>
    <xdr:sp macro="ClearAllCheckboxes" textlink="">
      <xdr:nvSpPr>
        <xdr:cNvPr id="5" name="btnClearCheckboxes">
          <a:extLst>
            <a:ext uri="{FF2B5EF4-FFF2-40B4-BE49-F238E27FC236}">
              <a16:creationId xmlns:a16="http://schemas.microsoft.com/office/drawing/2014/main" id="{9DCBB3E5-F3C9-D866-A7F9-01D131C59C15}"/>
            </a:ext>
          </a:extLst>
        </xdr:cNvPr>
        <xdr:cNvSpPr/>
      </xdr:nvSpPr>
      <xdr:spPr>
        <a:xfrm>
          <a:off x="2286000" y="635000"/>
          <a:ext cx="1524000" cy="444500"/>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Clear Checkboxes</a:t>
          </a:r>
        </a:p>
      </xdr:txBody>
    </xdr:sp>
    <xdr:clientData/>
  </xdr:twoCellAnchor>
  <xdr:twoCellAnchor>
    <xdr:from>
      <xdr:col>3</xdr:col>
      <xdr:colOff>247650</xdr:colOff>
      <xdr:row>3</xdr:row>
      <xdr:rowOff>63500</xdr:rowOff>
    </xdr:from>
    <xdr:to>
      <xdr:col>5</xdr:col>
      <xdr:colOff>285750</xdr:colOff>
      <xdr:row>5</xdr:row>
      <xdr:rowOff>127000</xdr:rowOff>
    </xdr:to>
    <xdr:sp macro="ClearAllCheckboxes" textlink="">
      <xdr:nvSpPr>
        <xdr:cNvPr id="6" name="btnClearCheckboxes">
          <a:extLst>
            <a:ext uri="{FF2B5EF4-FFF2-40B4-BE49-F238E27FC236}">
              <a16:creationId xmlns:a16="http://schemas.microsoft.com/office/drawing/2014/main" id="{5FC4DF32-B9F3-FECC-0DCD-38F3EA03D951}"/>
            </a:ext>
          </a:extLst>
        </xdr:cNvPr>
        <xdr:cNvSpPr/>
      </xdr:nvSpPr>
      <xdr:spPr>
        <a:xfrm>
          <a:off x="2286000" y="635000"/>
          <a:ext cx="1524000" cy="444500"/>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Clear Checkboxes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is Trouve" refreshedDate="46043.720288773147" createdVersion="3" refreshedVersion="8" minRefreshableVersion="3" recordCount="10" xr:uid="{2B9A473A-E8D1-4E78-8B33-9BB8D332E021}">
  <cacheSource type="worksheet">
    <worksheetSource ref="A1:E11" sheet="Data_Temps"/>
  </cacheSource>
  <cacheFields count="5">
    <cacheField name="Date" numFmtId="14">
      <sharedItems containsSemiMixedTypes="0" containsNonDate="0" containsDate="1" containsString="0" minDate="2025-02-01T00:00:00" maxDate="2025-09-02T00:00:00"/>
    </cacheField>
    <cacheField name="ClientID" numFmtId="0">
      <sharedItems count="5">
        <s v="CLI001"/>
        <s v="CLI002"/>
        <s v="CLI003"/>
        <s v="CLI004"/>
        <s v="CLI005"/>
      </sharedItems>
    </cacheField>
    <cacheField name="Projet" numFmtId="0">
      <sharedItems count="7">
        <s v="Site Web"/>
        <s v="API Backend"/>
        <s v="Campagne SEO"/>
        <s v="Boutique"/>
        <s v="Maintenance"/>
        <s v="Dashboard"/>
        <s v="App Mobile"/>
      </sharedItems>
    </cacheField>
    <cacheField name="Heures" numFmtId="0">
      <sharedItems containsSemiMixedTypes="0" containsString="0" containsNumber="1" containsInteger="1" minValue="15" maxValue="63"/>
    </cacheField>
    <cacheField name="Description" numFmtId="0">
      <sharedItems/>
    </cacheField>
  </cacheFields>
  <extLst>
    <ext xmlns:x14="http://schemas.microsoft.com/office/spreadsheetml/2009/9/main" uri="{725AE2AE-9491-48be-B2B4-4EB974FC3084}">
      <x14:pivotCacheDefinition pivotCacheId="16311741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d v="2025-02-01T00:00:00"/>
    <x v="0"/>
    <x v="0"/>
    <n v="35"/>
    <s v="Maquettes"/>
  </r>
  <r>
    <d v="2025-02-01T00:00:00"/>
    <x v="1"/>
    <x v="1"/>
    <n v="48"/>
    <s v="Endpoints"/>
  </r>
  <r>
    <d v="2025-03-01T00:00:00"/>
    <x v="0"/>
    <x v="0"/>
    <n v="40"/>
    <s v="Integration"/>
  </r>
  <r>
    <d v="2025-03-01T00:00:00"/>
    <x v="2"/>
    <x v="2"/>
    <n v="25"/>
    <s v="Audit"/>
  </r>
  <r>
    <d v="2025-06-01T00:00:00"/>
    <x v="1"/>
    <x v="1"/>
    <n v="56"/>
    <s v="Tests"/>
  </r>
  <r>
    <d v="2025-06-01T00:00:00"/>
    <x v="3"/>
    <x v="3"/>
    <n v="40"/>
    <s v="Setup"/>
  </r>
  <r>
    <d v="2025-07-01T00:00:00"/>
    <x v="0"/>
    <x v="4"/>
    <n v="15"/>
    <s v="Updates"/>
  </r>
  <r>
    <d v="2025-08-01T00:00:00"/>
    <x v="2"/>
    <x v="2"/>
    <n v="30"/>
    <s v="Keywords"/>
  </r>
  <r>
    <d v="2025-08-01T00:00:00"/>
    <x v="4"/>
    <x v="5"/>
    <n v="45"/>
    <s v="Design"/>
  </r>
  <r>
    <d v="2025-09-01T00:00:00"/>
    <x v="1"/>
    <x v="6"/>
    <n v="63"/>
    <s v="Screen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5586EB-6FE8-4EF4-91EB-5B80EC3A10C7}" name="ptHeuresProjet" cacheId="5"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N2:O15" firstHeaderRow="1" firstDataRow="1" firstDataCol="1"/>
  <pivotFields count="5">
    <pivotField numFmtId="14" showAll="0"/>
    <pivotField axis="axisRow" showAll="0">
      <items count="6">
        <item x="0"/>
        <item x="1"/>
        <item x="2"/>
        <item x="3"/>
        <item x="4"/>
        <item t="default"/>
      </items>
    </pivotField>
    <pivotField axis="axisRow" showAll="0">
      <items count="8">
        <item x="1"/>
        <item x="6"/>
        <item x="3"/>
        <item x="2"/>
        <item x="5"/>
        <item x="4"/>
        <item x="0"/>
        <item t="default"/>
      </items>
    </pivotField>
    <pivotField dataField="1" showAll="0"/>
    <pivotField showAll="0"/>
  </pivotFields>
  <rowFields count="2">
    <field x="1"/>
    <field x="2"/>
  </rowFields>
  <rowItems count="13">
    <i>
      <x/>
    </i>
    <i r="1">
      <x v="5"/>
    </i>
    <i r="1">
      <x v="6"/>
    </i>
    <i>
      <x v="1"/>
    </i>
    <i r="1">
      <x/>
    </i>
    <i r="1">
      <x v="1"/>
    </i>
    <i>
      <x v="2"/>
    </i>
    <i r="1">
      <x v="3"/>
    </i>
    <i>
      <x v="3"/>
    </i>
    <i r="1">
      <x v="2"/>
    </i>
    <i>
      <x v="4"/>
    </i>
    <i r="1">
      <x v="4"/>
    </i>
    <i t="grand">
      <x/>
    </i>
  </rowItems>
  <colItems count="1">
    <i/>
  </colItems>
  <dataFields count="1">
    <dataField name="Sum of Heures"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ID" xr10:uid="{ED515BA3-C710-4C93-A0FE-294718A0C7E2}" sourceName="ClientID">
  <pivotTables>
    <pivotTable tabId="1" name="ptHeuresProjet"/>
  </pivotTables>
  <data>
    <tabular pivotCacheId="1631174115">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Client" xr10:uid="{72392A9B-0225-413D-84FF-A5B328E1ECFD}" cache="Slicer_ClientID" caption="ClientI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5F8EDA-E27D-41DE-B26C-D81692D03B59}" name="tbl_Clients" displayName="tbl_Clients" ref="A1:D6" totalsRowShown="0">
  <autoFilter ref="A1:D6" xr:uid="{845F8EDA-E27D-41DE-B26C-D81692D03B59}"/>
  <tableColumns count="4">
    <tableColumn id="1" xr3:uid="{EAA50671-8FEB-45F7-A488-FCE9B0A69DD9}" name="ClientID"/>
    <tableColumn id="2" xr3:uid="{16FB947A-D85B-4D7D-9771-BB493A8834E6}" name="Nom"/>
    <tableColumn id="3" xr3:uid="{6C1EEC6F-F351-4EB8-846D-F3548D43E6B7}" name="Secteur"/>
    <tableColumn id="4" xr3:uid="{B390CD3C-28CF-449E-AB9C-B57103E92DA3}" name="DateDebut"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BC24BA-15D7-44C1-A991-9BBBF21A2AB5}" name="tbl_Temps" displayName="tbl_Temps" ref="A1:E11" totalsRowShown="0">
  <autoFilter ref="A1:E11" xr:uid="{79BC24BA-15D7-44C1-A991-9BBBF21A2AB5}"/>
  <tableColumns count="5">
    <tableColumn id="1" xr3:uid="{7C385800-62C7-44E8-BDBB-5699F443B950}" name="Date" dataDxfId="0"/>
    <tableColumn id="2" xr3:uid="{061F2445-35DD-4A9A-89FD-2169DF405F15}" name="ClientID"/>
    <tableColumn id="3" xr3:uid="{97D04758-8021-44BD-BDC2-4E34FAE886D8}" name="Projet"/>
    <tableColumn id="4" xr3:uid="{6752390F-9276-44F0-B0BC-390097C5BD29}" name="Heures"/>
    <tableColumn id="5" xr3:uid="{572F7A58-0CD0-4ED9-8406-0604A2FF747D}"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A7D5C4-9AF3-47D5-BFC6-E32F861BBAD1}" name="tbl_Revenus" displayName="tbl_Revenus" ref="A1:D8" totalsRowShown="0">
  <autoFilter ref="A1:D8" xr:uid="{EDA7D5C4-9AF3-47D5-BFC6-E32F861BBAD1}"/>
  <tableColumns count="4">
    <tableColumn id="1" xr3:uid="{1CF91E79-2876-4B7C-99CD-C2E963F5888F}" name="Date"/>
    <tableColumn id="2" xr3:uid="{7DE52B4C-71D4-4A70-866C-4392B1888D55}" name="ClientID"/>
    <tableColumn id="3" xr3:uid="{DD51A1F9-EB89-4FA3-8ED0-208D61B57CC8}" name="Montant"/>
    <tableColumn id="4" xr3:uid="{C1AD40ED-1B6E-42DE-87B8-F8C52246E18C}" name="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07/relationships/slicer" Target="../slicers/slicer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70"/>
  <sheetViews>
    <sheetView tabSelected="1" workbookViewId="0">
      <selection activeCell="B12" sqref="B12"/>
    </sheetView>
  </sheetViews>
  <sheetFormatPr defaultRowHeight="15" x14ac:dyDescent="0.25"/>
  <cols>
    <col min="1" max="1" width="21" style="2" customWidth="1"/>
    <col min="2" max="2" width="19.42578125" style="2" bestFit="1" customWidth="1"/>
    <col min="3" max="3" width="3.7109375" style="2" customWidth="1"/>
    <col min="4" max="4" width="21.5703125" style="2" bestFit="1" customWidth="1"/>
    <col min="5" max="5" width="4.28515625" style="2" bestFit="1" customWidth="1"/>
    <col min="6" max="6" width="14" style="2" bestFit="1" customWidth="1"/>
    <col min="7" max="10" width="12.7109375" style="2" customWidth="1"/>
    <col min="11" max="12" width="15.7109375" style="2" customWidth="1"/>
    <col min="13" max="13" width="9.140625" style="2"/>
    <col min="14" max="14" width="18" style="2" bestFit="1" customWidth="1"/>
    <col min="15" max="15" width="14" style="2" bestFit="1" customWidth="1"/>
    <col min="16" max="16384" width="9.140625" style="2"/>
  </cols>
  <sheetData>
    <row r="1" spans="1:15" ht="39.950000000000003" customHeight="1" x14ac:dyDescent="0.25">
      <c r="A1" s="34" t="s">
        <v>0</v>
      </c>
      <c r="B1" s="35"/>
      <c r="C1" s="35"/>
      <c r="D1" s="22" t="s">
        <v>77</v>
      </c>
    </row>
    <row r="2" spans="1:15" ht="14.25" customHeight="1" x14ac:dyDescent="0.25">
      <c r="D2" s="21" t="s">
        <v>70</v>
      </c>
      <c r="E2" s="21" t="s">
        <v>80</v>
      </c>
      <c r="G2" s="2" t="s">
        <v>81</v>
      </c>
      <c r="H2" s="2" t="s">
        <v>82</v>
      </c>
      <c r="N2" s="23" t="s">
        <v>83</v>
      </c>
      <c r="O2" t="s">
        <v>85</v>
      </c>
    </row>
    <row r="3" spans="1:15" ht="21.95" customHeight="1" x14ac:dyDescent="0.3">
      <c r="A3" s="3" t="s">
        <v>78</v>
      </c>
      <c r="D3" s="2" t="s">
        <v>72</v>
      </c>
      <c r="G3" s="2" t="str">
        <f>INDEX(tbl_Clients[Nom],1)</f>
        <v>Acme Corporation</v>
      </c>
      <c r="H3" s="33">
        <f>SUMIF(tbl_Revenus[ClientID],INDEX(tbl_Clients[ClientID],1),tbl_Revenus[Montant])</f>
        <v>3500</v>
      </c>
      <c r="N3" s="24" t="s">
        <v>7</v>
      </c>
      <c r="O3" s="26">
        <v>90</v>
      </c>
    </row>
    <row r="4" spans="1:15" ht="21.95" customHeight="1" x14ac:dyDescent="0.35">
      <c r="A4" s="4" t="s">
        <v>66</v>
      </c>
      <c r="B4" s="28">
        <f>SUM(tbl_Revenus[Montant])</f>
        <v>17300</v>
      </c>
      <c r="D4" s="2" t="s">
        <v>73</v>
      </c>
      <c r="G4" s="2" t="str">
        <f>INDEX(tbl_Clients[Nom],2)</f>
        <v>Tech Solutions</v>
      </c>
      <c r="H4" s="33">
        <f>SUMIF(tbl_Revenus[ClientID],INDEX(tbl_Clients[ClientID],2),tbl_Revenus[Montant])</f>
        <v>7000</v>
      </c>
      <c r="N4" s="25" t="s">
        <v>36</v>
      </c>
      <c r="O4" s="26">
        <v>15</v>
      </c>
    </row>
    <row r="5" spans="1:15" ht="21.95" customHeight="1" x14ac:dyDescent="0.35">
      <c r="A5" s="4" t="s">
        <v>67</v>
      </c>
      <c r="B5" s="29">
        <f>SUM(tbl_Temps[Heures])</f>
        <v>250</v>
      </c>
      <c r="D5" s="2" t="s">
        <v>74</v>
      </c>
      <c r="G5" s="2" t="str">
        <f>INDEX(tbl_Clients[Nom],3)</f>
        <v>Marketing Pro</v>
      </c>
      <c r="H5" s="33">
        <f>SUMIF(tbl_Revenus[ClientID],INDEX(tbl_Clients[ClientID],3),tbl_Revenus[Montant])</f>
        <v>1800</v>
      </c>
      <c r="N5" s="25" t="s">
        <v>26</v>
      </c>
      <c r="O5" s="26">
        <v>75</v>
      </c>
    </row>
    <row r="6" spans="1:15" ht="21.95" customHeight="1" x14ac:dyDescent="0.35">
      <c r="A6" s="4" t="s">
        <v>79</v>
      </c>
      <c r="B6" s="30">
        <f>ROUND(B4/B5,2)</f>
        <v>69.2</v>
      </c>
      <c r="D6" s="2" t="s">
        <v>75</v>
      </c>
      <c r="G6" s="2" t="str">
        <f>INDEX(tbl_Clients[Nom],4)</f>
        <v>E-Shop Plus</v>
      </c>
      <c r="H6" s="33">
        <f>SUMIF(tbl_Revenus[ClientID],INDEX(tbl_Clients[ClientID],4),tbl_Revenus[Montant])</f>
        <v>3500</v>
      </c>
      <c r="N6" s="24" t="s">
        <v>11</v>
      </c>
      <c r="O6" s="26">
        <v>167</v>
      </c>
    </row>
    <row r="7" spans="1:15" ht="21.95" customHeight="1" x14ac:dyDescent="0.35">
      <c r="A7" s="4" t="s">
        <v>68</v>
      </c>
      <c r="B7" s="6">
        <f>COUNTA(tbl_Clients[ClientID])</f>
        <v>5</v>
      </c>
      <c r="D7" s="2" t="s">
        <v>76</v>
      </c>
      <c r="G7" s="2" t="str">
        <f>INDEX(tbl_Clients[Nom],5)</f>
        <v>Finance Group</v>
      </c>
      <c r="H7" s="33">
        <f>SUMIF(tbl_Revenus[ClientID],INDEX(tbl_Clients[ClientID],5),tbl_Revenus[Montant])</f>
        <v>1500</v>
      </c>
      <c r="N7" s="25" t="s">
        <v>28</v>
      </c>
      <c r="O7" s="26">
        <v>104</v>
      </c>
    </row>
    <row r="8" spans="1:15" ht="21.95" customHeight="1" x14ac:dyDescent="0.35">
      <c r="A8" s="4" t="s">
        <v>69</v>
      </c>
      <c r="B8" s="6" t="str">
        <f>INDEX(G3:G7,MATCH(MAX(H3:H7),H3:H7,0))</f>
        <v>Tech Solutions</v>
      </c>
      <c r="N8" s="25" t="s">
        <v>41</v>
      </c>
      <c r="O8" s="26">
        <v>63</v>
      </c>
    </row>
    <row r="9" spans="1:15" ht="21.95" customHeight="1" x14ac:dyDescent="0.35">
      <c r="A9" s="4"/>
      <c r="B9" s="5"/>
      <c r="N9" s="24" t="s">
        <v>13</v>
      </c>
      <c r="O9" s="26">
        <v>55</v>
      </c>
    </row>
    <row r="10" spans="1:15" ht="21.95" customHeight="1" x14ac:dyDescent="0.25">
      <c r="A10" s="2" t="s">
        <v>86</v>
      </c>
      <c r="G10" s="2" t="s">
        <v>81</v>
      </c>
      <c r="H10" s="2" t="s">
        <v>24</v>
      </c>
      <c r="N10" s="25" t="s">
        <v>31</v>
      </c>
      <c r="O10" s="26">
        <v>55</v>
      </c>
    </row>
    <row r="11" spans="1:15" ht="21.95" customHeight="1" x14ac:dyDescent="0.3">
      <c r="A11" s="4" t="s">
        <v>87</v>
      </c>
      <c r="B11" s="31">
        <v>3460</v>
      </c>
      <c r="G11" s="2" t="str">
        <f>INDEX(tbl_Clients[Nom],1)</f>
        <v>Acme Corporation</v>
      </c>
      <c r="H11" s="32">
        <f>SUMIF(tbl_Temps[ClientID],INDEX(tbl_Clients[ClientID],1),tbl_Temps[Heures])</f>
        <v>62</v>
      </c>
      <c r="N11" s="24" t="s">
        <v>16</v>
      </c>
      <c r="O11" s="26">
        <v>40</v>
      </c>
    </row>
    <row r="12" spans="1:15" ht="21.95" customHeight="1" x14ac:dyDescent="0.25">
      <c r="A12" s="2" t="s">
        <v>88</v>
      </c>
      <c r="B12" s="32">
        <v>8.6999999999999993</v>
      </c>
      <c r="G12" s="2" t="str">
        <f>INDEX(tbl_Clients[Nom],2)</f>
        <v>Tech Solutions</v>
      </c>
      <c r="H12" s="32">
        <f>SUMIF(tbl_Temps[ClientID],INDEX(tbl_Clients[ClientID],2),tbl_Temps[Heures])</f>
        <v>95</v>
      </c>
      <c r="N12" s="25" t="s">
        <v>34</v>
      </c>
      <c r="O12" s="26">
        <v>40</v>
      </c>
    </row>
    <row r="13" spans="1:15" ht="21.95" customHeight="1" x14ac:dyDescent="0.3">
      <c r="A13" s="3" t="s">
        <v>89</v>
      </c>
      <c r="B13" s="9" t="s">
        <v>28</v>
      </c>
      <c r="G13" s="2" t="str">
        <f>INDEX(tbl_Clients[Nom],3)</f>
        <v>Marketing Pro</v>
      </c>
      <c r="H13" s="32">
        <f>SUMIF(tbl_Temps[ClientID],INDEX(tbl_Clients[ClientID],3),tbl_Temps[Heures])</f>
        <v>43</v>
      </c>
      <c r="N13" s="24" t="s">
        <v>20</v>
      </c>
      <c r="O13" s="26">
        <v>45</v>
      </c>
    </row>
    <row r="14" spans="1:15" ht="21.95" customHeight="1" x14ac:dyDescent="0.25">
      <c r="A14" s="4" t="s">
        <v>90</v>
      </c>
      <c r="B14" s="8" t="s">
        <v>91</v>
      </c>
      <c r="G14" s="2" t="str">
        <f>INDEX(tbl_Clients[Nom],4)</f>
        <v>E-Shop Plus</v>
      </c>
      <c r="H14" s="32">
        <f>SUMIF(tbl_Temps[ClientID],INDEX(tbl_Clients[ClientID],4),tbl_Temps[Heures])</f>
        <v>30</v>
      </c>
      <c r="N14" s="25" t="s">
        <v>39</v>
      </c>
      <c r="O14" s="26">
        <v>45</v>
      </c>
    </row>
    <row r="15" spans="1:15" ht="21.95" customHeight="1" x14ac:dyDescent="0.25">
      <c r="A15" s="4"/>
      <c r="B15" s="8"/>
      <c r="G15" s="2" t="str">
        <f>INDEX(tbl_Clients[Nom],5)</f>
        <v>Finance Group</v>
      </c>
      <c r="H15" s="32">
        <f>SUMIF(tbl_Temps[ClientID],INDEX(tbl_Clients[ClientID],5),tbl_Temps[Heures])</f>
        <v>20</v>
      </c>
      <c r="N15" s="24" t="s">
        <v>84</v>
      </c>
      <c r="O15" s="26">
        <v>397</v>
      </c>
    </row>
    <row r="16" spans="1:15" ht="21.95" customHeight="1" x14ac:dyDescent="0.25">
      <c r="A16" s="4" t="s">
        <v>92</v>
      </c>
      <c r="B16" s="7"/>
    </row>
    <row r="17" spans="1:7" x14ac:dyDescent="0.25">
      <c r="A17" s="2" t="s">
        <v>93</v>
      </c>
      <c r="B17" s="33">
        <v>50000</v>
      </c>
    </row>
    <row r="18" spans="1:7" x14ac:dyDescent="0.25">
      <c r="A18" s="2" t="s">
        <v>94</v>
      </c>
      <c r="B18" s="27">
        <v>0.35</v>
      </c>
    </row>
    <row r="30" spans="1:7" x14ac:dyDescent="0.25">
      <c r="E30"/>
      <c r="F30"/>
      <c r="G30"/>
    </row>
    <row r="31" spans="1:7" x14ac:dyDescent="0.25">
      <c r="E31"/>
      <c r="F31"/>
      <c r="G31"/>
    </row>
    <row r="32" spans="1:7" x14ac:dyDescent="0.25">
      <c r="E32"/>
      <c r="F32"/>
      <c r="G32"/>
    </row>
    <row r="33" spans="5:7" x14ac:dyDescent="0.25">
      <c r="E33"/>
      <c r="F33"/>
      <c r="G33"/>
    </row>
    <row r="34" spans="5:7" x14ac:dyDescent="0.25">
      <c r="E34"/>
      <c r="F34"/>
      <c r="G34"/>
    </row>
    <row r="35" spans="5:7" x14ac:dyDescent="0.25">
      <c r="E35"/>
      <c r="F35"/>
      <c r="G35"/>
    </row>
    <row r="60" spans="1:4" ht="16.5" thickBot="1" x14ac:dyDescent="0.3">
      <c r="A60" s="36"/>
      <c r="B60" s="36"/>
      <c r="C60" s="36"/>
      <c r="D60" s="36"/>
    </row>
    <row r="61" spans="1:4" x14ac:dyDescent="0.25">
      <c r="A61" s="18"/>
      <c r="B61" s="19"/>
      <c r="C61" s="10"/>
      <c r="D61" s="11"/>
    </row>
    <row r="62" spans="1:4" x14ac:dyDescent="0.25">
      <c r="A62" s="12"/>
      <c r="B62" s="20"/>
      <c r="C62" s="13"/>
      <c r="D62" s="14"/>
    </row>
    <row r="63" spans="1:4" x14ac:dyDescent="0.25">
      <c r="A63" s="12"/>
      <c r="B63" s="13"/>
      <c r="C63" s="13"/>
      <c r="D63" s="14"/>
    </row>
    <row r="64" spans="1:4" x14ac:dyDescent="0.25">
      <c r="A64" s="12"/>
      <c r="B64" s="13"/>
      <c r="C64" s="13"/>
      <c r="D64" s="14"/>
    </row>
    <row r="65" spans="1:4" x14ac:dyDescent="0.25">
      <c r="A65" s="12"/>
      <c r="B65" s="13"/>
      <c r="C65" s="13"/>
      <c r="D65" s="14"/>
    </row>
    <row r="66" spans="1:4" x14ac:dyDescent="0.25">
      <c r="A66" s="12"/>
      <c r="B66" s="13"/>
      <c r="C66" s="13"/>
      <c r="D66" s="14"/>
    </row>
    <row r="67" spans="1:4" x14ac:dyDescent="0.25">
      <c r="A67" s="12"/>
      <c r="B67" s="13"/>
      <c r="C67" s="13"/>
      <c r="D67" s="14"/>
    </row>
    <row r="68" spans="1:4" x14ac:dyDescent="0.25">
      <c r="A68" s="12"/>
      <c r="B68" s="13"/>
      <c r="C68" s="13"/>
      <c r="D68" s="14"/>
    </row>
    <row r="69" spans="1:4" x14ac:dyDescent="0.25">
      <c r="A69" s="12"/>
      <c r="B69" s="13"/>
      <c r="C69" s="13"/>
      <c r="D69" s="14"/>
    </row>
    <row r="70" spans="1:4" ht="15.75" thickBot="1" x14ac:dyDescent="0.3">
      <c r="A70" s="15"/>
      <c r="B70" s="16"/>
      <c r="C70" s="16"/>
      <c r="D70" s="17"/>
    </row>
  </sheetData>
  <mergeCells count="2">
    <mergeCell ref="A1:C1"/>
    <mergeCell ref="A60:D60"/>
  </mergeCells>
  <pageMargins left="0.75" right="0.75" top="1" bottom="1" header="0.5" footer="0.5"/>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9" r:id="rId5" name="Check Box 5">
              <controlPr defaultSize="0" autoFill="0" autoLine="0" autoPict="0">
                <anchor moveWithCells="1">
                  <from>
                    <xdr:col>4</xdr:col>
                    <xdr:colOff>19050</xdr:colOff>
                    <xdr:row>2</xdr:row>
                    <xdr:rowOff>19050</xdr:rowOff>
                  </from>
                  <to>
                    <xdr:col>5</xdr:col>
                    <xdr:colOff>28575</xdr:colOff>
                    <xdr:row>2</xdr:row>
                    <xdr:rowOff>247650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4</xdr:col>
                    <xdr:colOff>19050</xdr:colOff>
                    <xdr:row>3</xdr:row>
                    <xdr:rowOff>19050</xdr:rowOff>
                  </from>
                  <to>
                    <xdr:col>5</xdr:col>
                    <xdr:colOff>28575</xdr:colOff>
                    <xdr:row>3</xdr:row>
                    <xdr:rowOff>247650</xdr:rowOff>
                  </to>
                </anchor>
              </controlPr>
            </control>
          </mc:Choice>
        </mc:AlternateContent>
        <mc:AlternateContent xmlns:mc="http://schemas.openxmlformats.org/markup-compatibility/2006">
          <mc:Choice Requires="x14">
            <control shapeId="1031" r:id="rId7" name="Check Box 7">
              <controlPr defaultSize="0" autoFill="0" autoLine="0" autoPict="0">
                <anchor moveWithCells="1">
                  <from>
                    <xdr:col>4</xdr:col>
                    <xdr:colOff>19050</xdr:colOff>
                    <xdr:row>4</xdr:row>
                    <xdr:rowOff>19050</xdr:rowOff>
                  </from>
                  <to>
                    <xdr:col>5</xdr:col>
                    <xdr:colOff>28575</xdr:colOff>
                    <xdr:row>4</xdr:row>
                    <xdr:rowOff>247650</xdr:rowOff>
                  </to>
                </anchor>
              </controlPr>
            </control>
          </mc:Choice>
        </mc:AlternateContent>
        <mc:AlternateContent xmlns:mc="http://schemas.openxmlformats.org/markup-compatibility/2006">
          <mc:Choice Requires="x14">
            <control shapeId="1032" r:id="rId8" name="Check Box 8">
              <controlPr defaultSize="0" autoFill="0" autoLine="0" autoPict="0">
                <anchor moveWithCells="1">
                  <from>
                    <xdr:col>4</xdr:col>
                    <xdr:colOff>19050</xdr:colOff>
                    <xdr:row>5</xdr:row>
                    <xdr:rowOff>19050</xdr:rowOff>
                  </from>
                  <to>
                    <xdr:col>5</xdr:col>
                    <xdr:colOff>28575</xdr:colOff>
                    <xdr:row>5</xdr:row>
                    <xdr:rowOff>247650</xdr:rowOff>
                  </to>
                </anchor>
              </controlPr>
            </control>
          </mc:Choice>
        </mc:AlternateContent>
        <mc:AlternateContent xmlns:mc="http://schemas.openxmlformats.org/markup-compatibility/2006">
          <mc:Choice Requires="x14">
            <control shapeId="1033" r:id="rId9" name="Check Box 9">
              <controlPr defaultSize="0" autoFill="0" autoLine="0" autoPict="0">
                <anchor moveWithCells="1">
                  <from>
                    <xdr:col>4</xdr:col>
                    <xdr:colOff>19050</xdr:colOff>
                    <xdr:row>6</xdr:row>
                    <xdr:rowOff>19050</xdr:rowOff>
                  </from>
                  <to>
                    <xdr:col>5</xdr:col>
                    <xdr:colOff>28575</xdr:colOff>
                    <xdr:row>6</xdr:row>
                    <xdr:rowOff>247650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heetViews>
  <sheetFormatPr defaultRowHeight="15" x14ac:dyDescent="0.25"/>
  <cols>
    <col min="1" max="1" width="10.28515625" customWidth="1"/>
    <col min="3" max="3" width="9.85546875" customWidth="1"/>
    <col min="4" max="4" width="12.7109375" customWidth="1"/>
  </cols>
  <sheetData>
    <row r="1" spans="1:4" x14ac:dyDescent="0.25">
      <c r="A1" t="s">
        <v>1</v>
      </c>
      <c r="B1" t="s">
        <v>4</v>
      </c>
      <c r="C1" t="s">
        <v>5</v>
      </c>
      <c r="D1" t="s">
        <v>6</v>
      </c>
    </row>
    <row r="2" spans="1:4" x14ac:dyDescent="0.25">
      <c r="A2" t="s">
        <v>7</v>
      </c>
      <c r="B2" t="s">
        <v>8</v>
      </c>
      <c r="C2" t="s">
        <v>9</v>
      </c>
      <c r="D2" t="s">
        <v>10</v>
      </c>
    </row>
    <row r="3" spans="1:4" x14ac:dyDescent="0.25">
      <c r="A3" t="s">
        <v>11</v>
      </c>
      <c r="B3" t="s">
        <v>12</v>
      </c>
      <c r="C3" t="s">
        <v>9</v>
      </c>
      <c r="D3" s="1">
        <v>45294</v>
      </c>
    </row>
    <row r="4" spans="1:4" x14ac:dyDescent="0.25">
      <c r="A4" t="s">
        <v>13</v>
      </c>
      <c r="B4" t="s">
        <v>14</v>
      </c>
      <c r="C4" t="s">
        <v>15</v>
      </c>
      <c r="D4" s="1">
        <v>45571</v>
      </c>
    </row>
    <row r="5" spans="1:4" x14ac:dyDescent="0.25">
      <c r="A5" t="s">
        <v>16</v>
      </c>
      <c r="B5" t="s">
        <v>17</v>
      </c>
      <c r="C5" t="s">
        <v>18</v>
      </c>
      <c r="D5" t="s">
        <v>19</v>
      </c>
    </row>
    <row r="6" spans="1:4" x14ac:dyDescent="0.25">
      <c r="A6" t="s">
        <v>20</v>
      </c>
      <c r="B6" t="s">
        <v>21</v>
      </c>
      <c r="C6" t="s">
        <v>22</v>
      </c>
      <c r="D6" s="1">
        <v>45423</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1"/>
  <sheetViews>
    <sheetView workbookViewId="0"/>
  </sheetViews>
  <sheetFormatPr defaultRowHeight="15" x14ac:dyDescent="0.25"/>
  <cols>
    <col min="2" max="2" width="10.28515625" customWidth="1"/>
    <col min="4" max="4" width="9.42578125" customWidth="1"/>
    <col min="5" max="5" width="13.28515625" customWidth="1"/>
  </cols>
  <sheetData>
    <row r="1" spans="1:5" x14ac:dyDescent="0.25">
      <c r="A1" t="s">
        <v>2</v>
      </c>
      <c r="B1" t="s">
        <v>1</v>
      </c>
      <c r="C1" t="s">
        <v>23</v>
      </c>
      <c r="D1" t="s">
        <v>24</v>
      </c>
      <c r="E1" t="s">
        <v>25</v>
      </c>
    </row>
    <row r="2" spans="1:5" x14ac:dyDescent="0.25">
      <c r="A2" s="1">
        <v>45689</v>
      </c>
      <c r="B2" t="s">
        <v>7</v>
      </c>
      <c r="C2" t="s">
        <v>26</v>
      </c>
      <c r="D2">
        <v>28</v>
      </c>
      <c r="E2" t="s">
        <v>27</v>
      </c>
    </row>
    <row r="3" spans="1:5" x14ac:dyDescent="0.25">
      <c r="A3" s="1">
        <v>45689</v>
      </c>
      <c r="B3" t="s">
        <v>11</v>
      </c>
      <c r="C3" t="s">
        <v>28</v>
      </c>
      <c r="D3">
        <v>35</v>
      </c>
      <c r="E3" t="s">
        <v>29</v>
      </c>
    </row>
    <row r="4" spans="1:5" x14ac:dyDescent="0.25">
      <c r="A4" s="1">
        <v>45717</v>
      </c>
      <c r="B4" t="s">
        <v>7</v>
      </c>
      <c r="C4" t="s">
        <v>26</v>
      </c>
      <c r="D4">
        <v>22</v>
      </c>
      <c r="E4" t="s">
        <v>30</v>
      </c>
    </row>
    <row r="5" spans="1:5" x14ac:dyDescent="0.25">
      <c r="A5" s="1">
        <v>45717</v>
      </c>
      <c r="B5" t="s">
        <v>13</v>
      </c>
      <c r="C5" t="s">
        <v>31</v>
      </c>
      <c r="D5">
        <v>18</v>
      </c>
      <c r="E5" t="s">
        <v>32</v>
      </c>
    </row>
    <row r="6" spans="1:5" x14ac:dyDescent="0.25">
      <c r="A6" s="1">
        <v>45809</v>
      </c>
      <c r="B6" t="s">
        <v>11</v>
      </c>
      <c r="C6" t="s">
        <v>28</v>
      </c>
      <c r="D6">
        <v>42</v>
      </c>
      <c r="E6" t="s">
        <v>33</v>
      </c>
    </row>
    <row r="7" spans="1:5" x14ac:dyDescent="0.25">
      <c r="A7" s="1">
        <v>45809</v>
      </c>
      <c r="B7" t="s">
        <v>16</v>
      </c>
      <c r="C7" t="s">
        <v>34</v>
      </c>
      <c r="D7">
        <v>30</v>
      </c>
      <c r="E7" t="s">
        <v>35</v>
      </c>
    </row>
    <row r="8" spans="1:5" x14ac:dyDescent="0.25">
      <c r="A8" s="1">
        <v>45839</v>
      </c>
      <c r="B8" t="s">
        <v>7</v>
      </c>
      <c r="C8" t="s">
        <v>36</v>
      </c>
      <c r="D8">
        <v>12</v>
      </c>
      <c r="E8" t="s">
        <v>37</v>
      </c>
    </row>
    <row r="9" spans="1:5" x14ac:dyDescent="0.25">
      <c r="A9" s="1">
        <v>45870</v>
      </c>
      <c r="B9" t="s">
        <v>13</v>
      </c>
      <c r="C9" t="s">
        <v>31</v>
      </c>
      <c r="D9">
        <v>25</v>
      </c>
      <c r="E9" t="s">
        <v>38</v>
      </c>
    </row>
    <row r="10" spans="1:5" x14ac:dyDescent="0.25">
      <c r="A10" s="1">
        <v>45870</v>
      </c>
      <c r="B10" t="s">
        <v>20</v>
      </c>
      <c r="C10" t="s">
        <v>39</v>
      </c>
      <c r="D10">
        <v>20</v>
      </c>
      <c r="E10" t="s">
        <v>40</v>
      </c>
    </row>
    <row r="11" spans="1:5" x14ac:dyDescent="0.25">
      <c r="A11" s="1">
        <v>45901</v>
      </c>
      <c r="B11" t="s">
        <v>11</v>
      </c>
      <c r="C11" t="s">
        <v>41</v>
      </c>
      <c r="D11">
        <v>18</v>
      </c>
      <c r="E11" t="s">
        <v>42</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8"/>
  <sheetViews>
    <sheetView workbookViewId="0"/>
  </sheetViews>
  <sheetFormatPr defaultRowHeight="15" x14ac:dyDescent="0.25"/>
  <cols>
    <col min="2" max="2" width="10.28515625" customWidth="1"/>
    <col min="3" max="3" width="10.85546875" customWidth="1"/>
  </cols>
  <sheetData>
    <row r="1" spans="1:4" x14ac:dyDescent="0.25">
      <c r="A1" t="s">
        <v>2</v>
      </c>
      <c r="B1" t="s">
        <v>1</v>
      </c>
      <c r="C1" t="s">
        <v>43</v>
      </c>
      <c r="D1" t="s">
        <v>44</v>
      </c>
    </row>
    <row r="2" spans="1:4" x14ac:dyDescent="0.25">
      <c r="A2" t="s">
        <v>45</v>
      </c>
      <c r="B2" t="s">
        <v>7</v>
      </c>
      <c r="C2">
        <v>2500</v>
      </c>
      <c r="D2" t="s">
        <v>46</v>
      </c>
    </row>
    <row r="3" spans="1:4" x14ac:dyDescent="0.25">
      <c r="A3" t="s">
        <v>47</v>
      </c>
      <c r="B3" t="s">
        <v>11</v>
      </c>
      <c r="C3">
        <v>4200</v>
      </c>
      <c r="D3" t="s">
        <v>46</v>
      </c>
    </row>
    <row r="4" spans="1:4" x14ac:dyDescent="0.25">
      <c r="A4" t="s">
        <v>48</v>
      </c>
      <c r="B4" t="s">
        <v>13</v>
      </c>
      <c r="C4">
        <v>1800</v>
      </c>
      <c r="D4" t="s">
        <v>46</v>
      </c>
    </row>
    <row r="5" spans="1:4" x14ac:dyDescent="0.25">
      <c r="A5" t="s">
        <v>49</v>
      </c>
      <c r="B5" t="s">
        <v>7</v>
      </c>
      <c r="C5">
        <v>1000</v>
      </c>
      <c r="D5" t="s">
        <v>50</v>
      </c>
    </row>
    <row r="6" spans="1:4" x14ac:dyDescent="0.25">
      <c r="A6" t="s">
        <v>51</v>
      </c>
      <c r="B6" t="s">
        <v>16</v>
      </c>
      <c r="C6">
        <v>3500</v>
      </c>
      <c r="D6" t="s">
        <v>46</v>
      </c>
    </row>
    <row r="7" spans="1:4" x14ac:dyDescent="0.25">
      <c r="A7" s="1">
        <v>45779</v>
      </c>
      <c r="B7" t="s">
        <v>11</v>
      </c>
      <c r="C7">
        <v>2800</v>
      </c>
      <c r="D7" t="s">
        <v>46</v>
      </c>
    </row>
    <row r="8" spans="1:4" x14ac:dyDescent="0.25">
      <c r="A8" s="1">
        <v>45932</v>
      </c>
      <c r="B8" t="s">
        <v>20</v>
      </c>
      <c r="C8">
        <v>1500</v>
      </c>
      <c r="D8" t="s">
        <v>50</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8"/>
  <sheetViews>
    <sheetView workbookViewId="0"/>
  </sheetViews>
  <sheetFormatPr defaultRowHeight="15" x14ac:dyDescent="0.25"/>
  <sheetData>
    <row r="1" spans="1:6" x14ac:dyDescent="0.25">
      <c r="A1" t="s">
        <v>3</v>
      </c>
      <c r="B1" t="s">
        <v>52</v>
      </c>
      <c r="D1" t="s">
        <v>53</v>
      </c>
      <c r="F1" t="s">
        <v>54</v>
      </c>
    </row>
    <row r="2" spans="1:6" x14ac:dyDescent="0.25">
      <c r="A2" t="s">
        <v>55</v>
      </c>
      <c r="B2">
        <v>2025</v>
      </c>
      <c r="D2" t="s">
        <v>9</v>
      </c>
      <c r="F2" t="s">
        <v>46</v>
      </c>
    </row>
    <row r="3" spans="1:6" x14ac:dyDescent="0.25">
      <c r="A3" t="s">
        <v>56</v>
      </c>
      <c r="B3">
        <v>75</v>
      </c>
      <c r="D3" t="s">
        <v>15</v>
      </c>
      <c r="F3" t="s">
        <v>50</v>
      </c>
    </row>
    <row r="4" spans="1:6" x14ac:dyDescent="0.25">
      <c r="A4" t="s">
        <v>57</v>
      </c>
      <c r="B4" t="s">
        <v>58</v>
      </c>
      <c r="D4" t="s">
        <v>22</v>
      </c>
      <c r="F4" t="s">
        <v>59</v>
      </c>
    </row>
    <row r="5" spans="1:6" x14ac:dyDescent="0.25">
      <c r="A5" t="s">
        <v>60</v>
      </c>
      <c r="B5">
        <v>10000</v>
      </c>
      <c r="D5" t="s">
        <v>18</v>
      </c>
      <c r="F5" t="s">
        <v>61</v>
      </c>
    </row>
    <row r="6" spans="1:6" x14ac:dyDescent="0.25">
      <c r="A6" t="s">
        <v>62</v>
      </c>
      <c r="B6">
        <v>140</v>
      </c>
      <c r="D6" t="s">
        <v>63</v>
      </c>
    </row>
    <row r="7" spans="1:6" x14ac:dyDescent="0.25">
      <c r="A7" t="s">
        <v>64</v>
      </c>
      <c r="B7">
        <v>2</v>
      </c>
      <c r="D7" t="s">
        <v>65</v>
      </c>
    </row>
    <row r="8" spans="1:6" x14ac:dyDescent="0.25">
      <c r="D8" t="s">
        <v>61</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33F2E-173D-426E-A4DF-4A83B658AB29}">
  <sheetPr codeName="Sheet6"/>
  <dimension ref="A1:B6"/>
  <sheetViews>
    <sheetView showGridLines="0" workbookViewId="0">
      <selection activeCell="C5" sqref="C5"/>
    </sheetView>
  </sheetViews>
  <sheetFormatPr defaultRowHeight="15" x14ac:dyDescent="0.25"/>
  <cols>
    <col min="1" max="1" width="13.140625" bestFit="1" customWidth="1"/>
    <col min="2" max="2" width="8.28515625" bestFit="1" customWidth="1"/>
    <col min="5" max="5" width="13.140625" bestFit="1" customWidth="1"/>
    <col min="6" max="6" width="11.7109375" bestFit="1" customWidth="1"/>
    <col min="9" max="9" width="14.28515625" bestFit="1" customWidth="1"/>
    <col min="10" max="10" width="12.140625" bestFit="1" customWidth="1"/>
  </cols>
  <sheetData>
    <row r="1" spans="1:2" x14ac:dyDescent="0.25">
      <c r="A1" t="s">
        <v>70</v>
      </c>
      <c r="B1" t="s">
        <v>71</v>
      </c>
    </row>
    <row r="2" spans="1:2" x14ac:dyDescent="0.25">
      <c r="A2" t="s">
        <v>72</v>
      </c>
    </row>
    <row r="3" spans="1:2" x14ac:dyDescent="0.25">
      <c r="A3" t="s">
        <v>73</v>
      </c>
    </row>
    <row r="4" spans="1:2" x14ac:dyDescent="0.25">
      <c r="A4" t="s">
        <v>74</v>
      </c>
    </row>
    <row r="5" spans="1:2" x14ac:dyDescent="0.25">
      <c r="A5" t="s">
        <v>75</v>
      </c>
    </row>
    <row r="6" spans="1:2" x14ac:dyDescent="0.25">
      <c r="A6" t="s">
        <v>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k_Task1">
              <controlPr defaultSize="0" autoFill="0" autoLine="0" autoPict="0">
                <anchor moveWithCells="1">
                  <from>
                    <xdr:col>2</xdr:col>
                    <xdr:colOff>28575</xdr:colOff>
                    <xdr:row>4</xdr:row>
                    <xdr:rowOff>57150</xdr:rowOff>
                  </from>
                  <to>
                    <xdr:col>2</xdr:col>
                    <xdr:colOff>323850</xdr:colOff>
                    <xdr:row>5</xdr:row>
                    <xdr:rowOff>76200</xdr:rowOff>
                  </to>
                </anchor>
              </controlPr>
            </control>
          </mc:Choice>
        </mc:AlternateContent>
        <mc:AlternateContent xmlns:mc="http://schemas.openxmlformats.org/markup-compatibility/2006">
          <mc:Choice Requires="x14">
            <control shapeId="2050" r:id="rId4" name="chk_Task2">
              <controlPr defaultSize="0" autoFill="0" autoLine="0" autoPict="0">
                <anchor moveWithCells="1">
                  <from>
                    <xdr:col>2</xdr:col>
                    <xdr:colOff>28575</xdr:colOff>
                    <xdr:row>6</xdr:row>
                    <xdr:rowOff>0</xdr:rowOff>
                  </from>
                  <to>
                    <xdr:col>2</xdr:col>
                    <xdr:colOff>323850</xdr:colOff>
                    <xdr:row>7</xdr:row>
                    <xdr:rowOff>19050</xdr:rowOff>
                  </to>
                </anchor>
              </controlPr>
            </control>
          </mc:Choice>
        </mc:AlternateContent>
        <mc:AlternateContent xmlns:mc="http://schemas.openxmlformats.org/markup-compatibility/2006">
          <mc:Choice Requires="x14">
            <control shapeId="2051" r:id="rId5" name="chk_Task3">
              <controlPr defaultSize="0" autoFill="0" autoLine="0" autoPict="0">
                <anchor moveWithCells="1">
                  <from>
                    <xdr:col>2</xdr:col>
                    <xdr:colOff>28575</xdr:colOff>
                    <xdr:row>7</xdr:row>
                    <xdr:rowOff>123825</xdr:rowOff>
                  </from>
                  <to>
                    <xdr:col>2</xdr:col>
                    <xdr:colOff>323850</xdr:colOff>
                    <xdr:row>8</xdr:row>
                    <xdr:rowOff>142875</xdr:rowOff>
                  </to>
                </anchor>
              </controlPr>
            </control>
          </mc:Choice>
        </mc:AlternateContent>
        <mc:AlternateContent xmlns:mc="http://schemas.openxmlformats.org/markup-compatibility/2006">
          <mc:Choice Requires="x14">
            <control shapeId="2052" r:id="rId6" name="chk_Task4">
              <controlPr defaultSize="0" autoFill="0" autoLine="0" autoPict="0">
                <anchor moveWithCells="1">
                  <from>
                    <xdr:col>2</xdr:col>
                    <xdr:colOff>28575</xdr:colOff>
                    <xdr:row>9</xdr:row>
                    <xdr:rowOff>57150</xdr:rowOff>
                  </from>
                  <to>
                    <xdr:col>2</xdr:col>
                    <xdr:colOff>323850</xdr:colOff>
                    <xdr:row>10</xdr:row>
                    <xdr:rowOff>76200</xdr:rowOff>
                  </to>
                </anchor>
              </controlPr>
            </control>
          </mc:Choice>
        </mc:AlternateContent>
        <mc:AlternateContent xmlns:mc="http://schemas.openxmlformats.org/markup-compatibility/2006">
          <mc:Choice Requires="x14">
            <control shapeId="2053" r:id="rId7" name="chk_Task5">
              <controlPr defaultSize="0" autoFill="0" autoLine="0" autoPict="0">
                <anchor moveWithCells="1">
                  <from>
                    <xdr:col>2</xdr:col>
                    <xdr:colOff>28575</xdr:colOff>
                    <xdr:row>11</xdr:row>
                    <xdr:rowOff>0</xdr:rowOff>
                  </from>
                  <to>
                    <xdr:col>2</xdr:col>
                    <xdr:colOff>323850</xdr:colOff>
                    <xdr:row>12</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Data_Clients</vt:lpstr>
      <vt:lpstr>Data_Temps</vt:lpstr>
      <vt:lpstr>Data_Revenus</vt:lpstr>
      <vt:lpstr>Config</vt:lpstr>
      <vt:lpstr>TCD_Data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Alexis Trouve</cp:lastModifiedBy>
  <dcterms:created xsi:type="dcterms:W3CDTF">2025-12-30T03:42:07Z</dcterms:created>
  <dcterms:modified xsi:type="dcterms:W3CDTF">2026-01-21T10:24:06Z</dcterms:modified>
</cp:coreProperties>
</file>